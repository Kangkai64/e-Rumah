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Overview" sheetId="1" state="visible" r:id="rId1"/>
    <sheet name="1. Health Monitoring" sheetId="2" state="visible" r:id="rId2"/>
    <sheet name="2. Application Mgmt" sheetId="3" state="visible" r:id="rId3"/>
    <sheet name="3. Customer Support" sheetId="4" state="visible" r:id="rId4"/>
    <sheet name="4. Administrative" sheetId="5" state="visible" r:id="rId5"/>
    <sheet name="5. User Management" sheetId="6" state="visible" r:id="rId6"/>
    <sheet name="6. ML Estimator API" sheetId="7" state="visible" r:id="rId7"/>
    <sheet name="7. NFR &amp; Security" sheetId="8" state="visible" r:id="rId8"/>
  </sheets>
  <definedNames>
    <definedName name="_xlnm._FilterDatabase" localSheetId="1" hidden="1">'1. Health Monitoring'!$A$4:$I$23</definedName>
    <definedName name="_xlnm.Print_Titles" localSheetId="1">'1. Health Monitoring'!$4:$4</definedName>
    <definedName name="_xlnm._FilterDatabase" localSheetId="2" hidden="1">'2. Application Mgmt'!$A$4:$I$21</definedName>
    <definedName name="_xlnm.Print_Titles" localSheetId="2">'2. Application Mgmt'!$4:$4</definedName>
    <definedName name="_xlnm._FilterDatabase" localSheetId="3" hidden="1">'3. Customer Support'!$A$4:$I$18</definedName>
    <definedName name="_xlnm.Print_Titles" localSheetId="3">'3. Customer Support'!$4:$4</definedName>
    <definedName name="_xlnm._FilterDatabase" localSheetId="4" hidden="1">'4. Administrative'!$A$4:$I$16</definedName>
    <definedName name="_xlnm.Print_Titles" localSheetId="4">'4. Administrative'!$4:$4</definedName>
    <definedName name="_xlnm._FilterDatabase" localSheetId="5" hidden="1">'5. User Management'!$A$4:$I$19</definedName>
    <definedName name="_xlnm.Print_Titles" localSheetId="5">'5. User Management'!$4:$4</definedName>
    <definedName name="_xlnm._FilterDatabase" localSheetId="6" hidden="1">'6. ML Estimator API'!$A$4:$I$14</definedName>
    <definedName name="_xlnm.Print_Titles" localSheetId="6">'6. ML Estimator API'!$4:$4</definedName>
    <definedName name="_xlnm._FilterDatabase" localSheetId="7" hidden="1">'7. NFR &amp; Security'!$A$4:$I$18</definedName>
    <definedName name="_xlnm.Print_Titles" localSheetId="7">'7. NFR &amp; Security'!$4:$4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A8202D"/>
      <sz val="16"/>
    </font>
    <font>
      <name val="Arial"/>
      <charset val="1"/>
      <family val="0"/>
      <color rgb="FF1F3864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1F3864"/>
      <sz val="12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A8202D"/>
      <sz val="14"/>
    </font>
    <font>
      <name val="Arial"/>
      <charset val="1"/>
      <family val="0"/>
      <i val="1"/>
      <color rgb="FF777778"/>
      <sz val="10"/>
    </font>
  </fonts>
  <fills count="10">
    <fill>
      <patternFill/>
    </fill>
    <fill>
      <patternFill patternType="gray125"/>
    </fill>
    <fill>
      <patternFill patternType="solid">
        <fgColor rgb="FFC6EFCE"/>
        <bgColor rgb="FFCCFFFF"/>
      </patternFill>
    </fill>
    <fill>
      <patternFill patternType="solid">
        <fgColor rgb="FFFFC7CE"/>
        <bgColor rgb="FFFCD5B4"/>
      </patternFill>
    </fill>
    <fill>
      <patternFill patternType="solid">
        <fgColor rgb="FFFFEB9C"/>
        <bgColor rgb="FFFCD5B4"/>
      </patternFill>
    </fill>
    <fill>
      <patternFill patternType="solid">
        <fgColor rgb="FFFCD5B4"/>
        <bgColor rgb="FFFFC7CE"/>
      </patternFill>
    </fill>
    <fill>
      <patternFill patternType="solid">
        <fgColor rgb="FFFFFFFF"/>
        <bgColor rgb="FFF5F5F5"/>
      </patternFill>
    </fill>
    <fill>
      <patternFill patternType="solid">
        <fgColor rgb="FFA8202D"/>
        <bgColor rgb="FF993366"/>
      </patternFill>
    </fill>
    <fill>
      <patternFill patternType="solid">
        <fgColor rgb="FFEDEDED"/>
        <bgColor rgb="FFF5F5F5"/>
      </patternFill>
    </fill>
    <fill>
      <patternFill patternType="solid">
        <fgColor rgb="FFF5F5F5"/>
        <b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6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bottom"/>
    </xf>
    <xf numFmtId="9" fontId="6" fillId="8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bottom"/>
    </xf>
    <xf numFmtId="0" fontId="6" fillId="3" borderId="1" applyAlignment="1" pivotButton="0" quotePrefix="0" xfId="0">
      <alignment horizontal="center" vertical="bottom"/>
    </xf>
    <xf numFmtId="0" fontId="6" fillId="4" borderId="1" applyAlignment="1" pivotButton="0" quotePrefix="0" xfId="0">
      <alignment horizontal="center" vertical="bottom"/>
    </xf>
    <xf numFmtId="0" fontId="6" fillId="5" borderId="1" applyAlignment="1" pivotButton="0" quotePrefix="0" xfId="0">
      <alignment horizontal="center" vertical="bottom"/>
    </xf>
    <xf numFmtId="0" fontId="6" fillId="6" borderId="1" applyAlignment="1" pivotButton="0" quotePrefix="0" xfId="0">
      <alignment horizontal="center" vertical="bottom"/>
    </xf>
    <xf numFmtId="0" fontId="9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bottom"/>
    </xf>
    <xf numFmtId="9" fontId="7" fillId="0" borderId="1" applyAlignment="1" pivotButton="0" quotePrefix="0" xfId="0">
      <alignment horizontal="center" vertical="bottom"/>
    </xf>
    <xf numFmtId="0" fontId="6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center" vertical="bottom"/>
    </xf>
    <xf numFmtId="9" fontId="6" fillId="8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 wrapText="1"/>
    </xf>
    <xf numFmtId="0" fontId="7" fillId="9" borderId="1" applyAlignment="1" pivotButton="0" quotePrefix="0" xfId="0">
      <alignment horizontal="center" vertical="top"/>
    </xf>
    <xf numFmtId="0" fontId="7" fillId="9" borderId="1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A8202D"/>
          <bgColor rgb="FF000000"/>
        </patternFill>
      </fill>
    </dxf>
    <dxf>
      <fill>
        <patternFill patternType="solid">
          <fgColor rgb="FFF5F5F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ont>
        <name val="Arial"/>
        <charset val="1"/>
        <family val="0"/>
        <color rgb="FF006100"/>
        <sz val="10"/>
      </font>
      <fill>
        <patternFill>
          <bgColor rgb="FFC6EFCE"/>
        </patternFill>
      </fill>
    </dxf>
    <dxf>
      <font>
        <name val="Arial"/>
        <charset val="1"/>
        <family val="0"/>
        <color rgb="FF9C0006"/>
        <sz val="10"/>
      </font>
      <fill>
        <patternFill>
          <bgColor rgb="FFFFC7CE"/>
        </patternFill>
      </fill>
    </dxf>
    <dxf>
      <font>
        <name val="Arial"/>
        <charset val="1"/>
        <family val="0"/>
        <color rgb="FF9C6500"/>
        <sz val="10"/>
      </font>
      <fill>
        <patternFill>
          <bgColor rgb="FFFFEB9C"/>
        </patternFill>
      </fill>
    </dxf>
    <dxf>
      <font>
        <name val="Arial"/>
        <charset val="1"/>
        <family val="0"/>
        <color rgb="FF974706"/>
        <sz val="10"/>
      </font>
      <fill>
        <patternFill>
          <bgColor rgb="FFFCD5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9C6500"/>
      <rgbColor rgb="FF800080"/>
      <rgbColor rgb="FF008080"/>
      <rgbColor rgb="FFBFBFBF"/>
      <rgbColor rgb="FF777778"/>
      <rgbColor rgb="FF9999FF"/>
      <rgbColor rgb="FFA8202D"/>
      <rgbColor rgb="FFF5F5F5"/>
      <rgbColor rgb="FFEDEDED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CD5B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74706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6" min="1" max="1"/>
    <col width="22" customWidth="1" style="26" min="2" max="2"/>
    <col width="12" customWidth="1" style="26" min="3" max="6"/>
    <col width="13" customWidth="1" style="26" min="7" max="7"/>
    <col width="12" customWidth="1" style="26" min="8" max="9"/>
    <col width="19" customWidth="1" style="26" min="10" max="10"/>
  </cols>
  <sheetData>
    <row r="2" ht="19.7" customHeight="1" s="27">
      <c r="B2" s="28" t="inlineStr">
        <is>
          <t>e-Rumah  |  Testing and Verification Checklist</t>
        </is>
      </c>
    </row>
    <row r="3" ht="15" customHeight="1" s="27">
      <c r="B3" s="29" t="inlineStr">
        <is>
          <t>Centralized Reverse Mortgage Marketplace for Elderly Financial Support</t>
        </is>
      </c>
    </row>
    <row r="5" ht="15" customHeight="1" s="27">
      <c r="B5" s="30" t="inlineStr">
        <is>
          <t>Student:</t>
        </is>
      </c>
      <c r="C5" s="31" t="inlineStr">
        <is>
          <t>Ho Kang Kai</t>
        </is>
      </c>
    </row>
    <row r="6" ht="15" customHeight="1" s="27">
      <c r="B6" s="30" t="inlineStr">
        <is>
          <t>Institution:</t>
        </is>
      </c>
      <c r="C6" s="31" t="inlineStr">
        <is>
          <t>Faculty of Computing and Information Technology, TAR UMT, Kuala Lumpur</t>
        </is>
      </c>
    </row>
    <row r="7" ht="15" customHeight="1" s="27">
      <c r="B7" s="30" t="inlineStr">
        <is>
          <t>Academic Year:</t>
        </is>
      </c>
      <c r="C7" s="31" t="inlineStr">
        <is>
          <t>2025/26</t>
        </is>
      </c>
    </row>
    <row r="8" ht="15" customHeight="1" s="27">
      <c r="B8" s="30" t="inlineStr">
        <is>
          <t>Repository:</t>
        </is>
      </c>
      <c r="C8" s="31" t="inlineStr">
        <is>
          <t>github.com/Kangkai64/e-Rumah</t>
        </is>
      </c>
    </row>
    <row r="9" ht="15" customHeight="1" s="27">
      <c r="B9" s="30" t="inlineStr">
        <is>
          <t>Requirement source:</t>
        </is>
      </c>
      <c r="C9" s="31" t="inlineStr">
        <is>
          <t>FYP Report Chapter 4 functional (FR) and non-functional (NFR) requirements</t>
        </is>
      </c>
    </row>
    <row r="11" ht="15" customHeight="1" s="27">
      <c r="B11" s="32" t="inlineStr">
        <is>
          <t>How to use</t>
        </is>
      </c>
    </row>
    <row r="12" ht="15" customHeight="1" s="27">
      <c r="B12" s="31" t="inlineStr">
        <is>
          <t>1. Each module has its own sheet. Every row is one test item mapped to a requirement ID from Chapter 4 where applicable.</t>
        </is>
      </c>
    </row>
    <row r="13" ht="15" customHeight="1" s="27">
      <c r="B13" s="31" t="inlineStr">
        <is>
          <t>2. Execute the Verification Steps, compare against the Expected Result, then set Status via the dropdown (Pass, Fail, Partial, Blocked, Not Tested).</t>
        </is>
      </c>
    </row>
    <row r="14" ht="15" customHeight="1" s="27">
      <c r="B14" s="31" t="inlineStr">
        <is>
          <t>3. Record evidence or deviations under Actual Result / Remarks and enter the Date Tested.</t>
        </is>
      </c>
    </row>
    <row r="15" ht="15" customHeight="1" s="27">
      <c r="B15" s="31" t="inlineStr">
        <is>
          <t>4. The supervisor marks the final column (Yes / No / N/A) after reviewing the demonstrated behaviour.</t>
        </is>
      </c>
    </row>
    <row r="16" ht="15" customHeight="1" s="27">
      <c r="B16" s="31" t="inlineStr">
        <is>
          <t>5. The summary table below updates automatically as statuses are filled in.</t>
        </is>
      </c>
    </row>
    <row r="18" ht="15" customHeight="1" s="27">
      <c r="B18" s="32" t="inlineStr">
        <is>
          <t>Status legend</t>
        </is>
      </c>
    </row>
    <row r="19" ht="15" customHeight="1" s="27">
      <c r="B19" s="33" t="inlineStr">
        <is>
          <t>Pass</t>
        </is>
      </c>
      <c r="C19" s="31" t="inlineStr">
        <is>
          <t>Behaves exactly as expected</t>
        </is>
      </c>
    </row>
    <row r="20" ht="15" customHeight="1" s="27">
      <c r="B20" s="34" t="inlineStr">
        <is>
          <t>Fail</t>
        </is>
      </c>
      <c r="C20" s="31" t="inlineStr">
        <is>
          <t>Does not meet the expected result</t>
        </is>
      </c>
    </row>
    <row r="21" ht="15" customHeight="1" s="27">
      <c r="B21" s="35" t="inlineStr">
        <is>
          <t>Partial</t>
        </is>
      </c>
      <c r="C21" s="31" t="inlineStr">
        <is>
          <t>Works with minor deviations noted in remarks</t>
        </is>
      </c>
    </row>
    <row r="22" ht="15" customHeight="1" s="27">
      <c r="B22" s="36" t="inlineStr">
        <is>
          <t>Blocked</t>
        </is>
      </c>
      <c r="C22" s="31" t="inlineStr">
        <is>
          <t>Cannot be tested due to a dependency or environment issue</t>
        </is>
      </c>
    </row>
    <row r="23" ht="15" customHeight="1" s="27">
      <c r="B23" s="37" t="inlineStr">
        <is>
          <t>Not Tested</t>
        </is>
      </c>
      <c r="C23" s="31" t="inlineStr">
        <is>
          <t>Not yet executed</t>
        </is>
      </c>
    </row>
    <row r="25" ht="15" customHeight="1" s="27">
      <c r="B25" s="32" t="inlineStr">
        <is>
          <t>Module summary</t>
        </is>
      </c>
    </row>
    <row r="26" ht="24" customHeight="1" s="27">
      <c r="B26" s="38" t="inlineStr">
        <is>
          <t>Module</t>
        </is>
      </c>
      <c r="C26" s="38" t="inlineStr">
        <is>
          <t>Total</t>
        </is>
      </c>
      <c r="D26" s="38" t="inlineStr">
        <is>
          <t>Pass</t>
        </is>
      </c>
      <c r="E26" s="38" t="inlineStr">
        <is>
          <t>Fail</t>
        </is>
      </c>
      <c r="F26" s="38" t="inlineStr">
        <is>
          <t>Partial</t>
        </is>
      </c>
      <c r="G26" s="38" t="inlineStr">
        <is>
          <t>Blocked</t>
        </is>
      </c>
      <c r="H26" s="38" t="inlineStr">
        <is>
          <t>Not Tested</t>
        </is>
      </c>
      <c r="I26" s="38" t="inlineStr">
        <is>
          <t>Tested %</t>
        </is>
      </c>
      <c r="J26" s="38" t="inlineStr">
        <is>
          <t>Supervisor Verified</t>
        </is>
      </c>
    </row>
    <row r="27" ht="15" customHeight="1" s="27">
      <c r="B27" s="39" t="inlineStr">
        <is>
          <t>1. Health Monitoring</t>
        </is>
      </c>
      <c r="C27" s="40">
        <f>COUNTA('1. Health Monitoring'!$A$5:$A$23)</f>
        <v/>
      </c>
      <c r="D27" s="40">
        <f>COUNTIF('1. Health Monitoring'!$F$5:$F$23,"Pass")</f>
        <v/>
      </c>
      <c r="E27" s="40">
        <f>COUNTIF('1. Health Monitoring'!$F$5:$F$23,"Fail")</f>
        <v/>
      </c>
      <c r="F27" s="40">
        <f>COUNTIF('1. Health Monitoring'!$F$5:$F$23,"Partial")</f>
        <v/>
      </c>
      <c r="G27" s="40">
        <f>COUNTIF('1. Health Monitoring'!$F$5:$F$23,"Blocked")</f>
        <v/>
      </c>
      <c r="H27" s="40">
        <f>COUNTIF('1. Health Monitoring'!$F$5:$F$23,"Not Tested")</f>
        <v/>
      </c>
      <c r="I27" s="41">
        <f>IF(C27=0,0,(C27-H27)/C27)</f>
        <v/>
      </c>
      <c r="J27" s="40">
        <f>COUNTIF('1. Health Monitoring'!$I$5:$I$23,"Yes")&amp;" / "&amp;C27</f>
        <v/>
      </c>
    </row>
    <row r="28" ht="15" customHeight="1" s="27">
      <c r="B28" s="39" t="inlineStr">
        <is>
          <t>2. Application Mgmt</t>
        </is>
      </c>
      <c r="C28" s="40">
        <f>COUNTA('2. Application Mgmt'!$A$5:$A$21)</f>
        <v/>
      </c>
      <c r="D28" s="40">
        <f>COUNTIF('2. Application Mgmt'!$F$5:$F$21,"Pass")</f>
        <v/>
      </c>
      <c r="E28" s="40">
        <f>COUNTIF('2. Application Mgmt'!$F$5:$F$21,"Fail")</f>
        <v/>
      </c>
      <c r="F28" s="40">
        <f>COUNTIF('2. Application Mgmt'!$F$5:$F$21,"Partial")</f>
        <v/>
      </c>
      <c r="G28" s="40">
        <f>COUNTIF('2. Application Mgmt'!$F$5:$F$21,"Blocked")</f>
        <v/>
      </c>
      <c r="H28" s="40">
        <f>COUNTIF('2. Application Mgmt'!$F$5:$F$21,"Not Tested")</f>
        <v/>
      </c>
      <c r="I28" s="41">
        <f>IF(C28=0,0,(C28-H28)/C28)</f>
        <v/>
      </c>
      <c r="J28" s="40">
        <f>COUNTIF('2. Application Mgmt'!$I$5:$I$21,"Yes")&amp;" / "&amp;C28</f>
        <v/>
      </c>
    </row>
    <row r="29" ht="15" customHeight="1" s="27">
      <c r="B29" s="39" t="inlineStr">
        <is>
          <t>3. Customer Support</t>
        </is>
      </c>
      <c r="C29" s="40">
        <f>COUNTA('3. Customer Support'!$A$5:$A$18)</f>
        <v/>
      </c>
      <c r="D29" s="40">
        <f>COUNTIF('3. Customer Support'!$F$5:$F$18,"Pass")</f>
        <v/>
      </c>
      <c r="E29" s="40">
        <f>COUNTIF('3. Customer Support'!$F$5:$F$18,"Fail")</f>
        <v/>
      </c>
      <c r="F29" s="40">
        <f>COUNTIF('3. Customer Support'!$F$5:$F$18,"Partial")</f>
        <v/>
      </c>
      <c r="G29" s="40">
        <f>COUNTIF('3. Customer Support'!$F$5:$F$18,"Blocked")</f>
        <v/>
      </c>
      <c r="H29" s="40">
        <f>COUNTIF('3. Customer Support'!$F$5:$F$18,"Not Tested")</f>
        <v/>
      </c>
      <c r="I29" s="41">
        <f>IF(C29=0,0,(C29-H29)/C29)</f>
        <v/>
      </c>
      <c r="J29" s="40">
        <f>COUNTIF('3. Customer Support'!$I$5:$I$18,"Yes")&amp;" / "&amp;C29</f>
        <v/>
      </c>
    </row>
    <row r="30" ht="15" customHeight="1" s="27">
      <c r="B30" s="39" t="inlineStr">
        <is>
          <t>4. Administrative</t>
        </is>
      </c>
      <c r="C30" s="40">
        <f>COUNTA('4. Administrative'!$A$5:$A$16)</f>
        <v/>
      </c>
      <c r="D30" s="40">
        <f>COUNTIF('4. Administrative'!$F$5:$F$16,"Pass")</f>
        <v/>
      </c>
      <c r="E30" s="40">
        <f>COUNTIF('4. Administrative'!$F$5:$F$16,"Fail")</f>
        <v/>
      </c>
      <c r="F30" s="40">
        <f>COUNTIF('4. Administrative'!$F$5:$F$16,"Partial")</f>
        <v/>
      </c>
      <c r="G30" s="40">
        <f>COUNTIF('4. Administrative'!$F$5:$F$16,"Blocked")</f>
        <v/>
      </c>
      <c r="H30" s="40">
        <f>COUNTIF('4. Administrative'!$F$5:$F$16,"Not Tested")</f>
        <v/>
      </c>
      <c r="I30" s="41">
        <f>IF(C30=0,0,(C30-H30)/C30)</f>
        <v/>
      </c>
      <c r="J30" s="40">
        <f>COUNTIF('4. Administrative'!$I$5:$I$16,"Yes")&amp;" / "&amp;C30</f>
        <v/>
      </c>
    </row>
    <row r="31" ht="15" customHeight="1" s="27">
      <c r="B31" s="39" t="inlineStr">
        <is>
          <t>5. User Management</t>
        </is>
      </c>
      <c r="C31" s="40">
        <f>COUNTA('5. User Management'!$A$5:$A$19)</f>
        <v/>
      </c>
      <c r="D31" s="40">
        <f>COUNTIF('5. User Management'!$F$5:$F$19,"Pass")</f>
        <v/>
      </c>
      <c r="E31" s="40">
        <f>COUNTIF('5. User Management'!$F$5:$F$19,"Fail")</f>
        <v/>
      </c>
      <c r="F31" s="40">
        <f>COUNTIF('5. User Management'!$F$5:$F$19,"Partial")</f>
        <v/>
      </c>
      <c r="G31" s="40">
        <f>COUNTIF('5. User Management'!$F$5:$F$19,"Blocked")</f>
        <v/>
      </c>
      <c r="H31" s="40">
        <f>COUNTIF('5. User Management'!$F$5:$F$19,"Not Tested")</f>
        <v/>
      </c>
      <c r="I31" s="41">
        <f>IF(C31=0,0,(C31-H31)/C31)</f>
        <v/>
      </c>
      <c r="J31" s="40">
        <f>COUNTIF('5. User Management'!$I$5:$I$19,"Yes")&amp;" / "&amp;C31</f>
        <v/>
      </c>
    </row>
    <row r="32" ht="15" customHeight="1" s="27">
      <c r="B32" s="39" t="inlineStr">
        <is>
          <t>6. ML Estimator API</t>
        </is>
      </c>
      <c r="C32" s="40">
        <f>COUNTA('6. ML Estimator API'!$A$5:$A$14)</f>
        <v/>
      </c>
      <c r="D32" s="40">
        <f>COUNTIF('6. ML Estimator API'!$F$5:$F$14,"Pass")</f>
        <v/>
      </c>
      <c r="E32" s="40">
        <f>COUNTIF('6. ML Estimator API'!$F$5:$F$14,"Fail")</f>
        <v/>
      </c>
      <c r="F32" s="40">
        <f>COUNTIF('6. ML Estimator API'!$F$5:$F$14,"Partial")</f>
        <v/>
      </c>
      <c r="G32" s="40">
        <f>COUNTIF('6. ML Estimator API'!$F$5:$F$14,"Blocked")</f>
        <v/>
      </c>
      <c r="H32" s="40">
        <f>COUNTIF('6. ML Estimator API'!$F$5:$F$14,"Not Tested")</f>
        <v/>
      </c>
      <c r="I32" s="41">
        <f>IF(C32=0,0,(C32-H32)/C32)</f>
        <v/>
      </c>
      <c r="J32" s="40">
        <f>COUNTIF('6. ML Estimator API'!$I$5:$I$14,"Yes")&amp;" / "&amp;C32</f>
        <v/>
      </c>
    </row>
    <row r="33" ht="15" customHeight="1" s="27">
      <c r="B33" s="39" t="inlineStr">
        <is>
          <t>7. NFR &amp; Security</t>
        </is>
      </c>
      <c r="C33" s="40">
        <f>COUNTA('7. NFR &amp; Security'!$A$5:$A$18)</f>
        <v/>
      </c>
      <c r="D33" s="40">
        <f>COUNTIF('7. NFR &amp; Security'!$F$5:$F$18,"Pass")</f>
        <v/>
      </c>
      <c r="E33" s="40">
        <f>COUNTIF('7. NFR &amp; Security'!$F$5:$F$18,"Fail")</f>
        <v/>
      </c>
      <c r="F33" s="40">
        <f>COUNTIF('7. NFR &amp; Security'!$F$5:$F$18,"Partial")</f>
        <v/>
      </c>
      <c r="G33" s="40">
        <f>COUNTIF('7. NFR &amp; Security'!$F$5:$F$18,"Blocked")</f>
        <v/>
      </c>
      <c r="H33" s="40">
        <f>COUNTIF('7. NFR &amp; Security'!$F$5:$F$18,"Not Tested")</f>
        <v/>
      </c>
      <c r="I33" s="41">
        <f>IF(C33=0,0,(C33-H33)/C33)</f>
        <v/>
      </c>
      <c r="J33" s="40">
        <f>COUNTIF('7. NFR &amp; Security'!$I$5:$I$18,"Yes")&amp;" / "&amp;C33</f>
        <v/>
      </c>
    </row>
    <row r="34" ht="15" customHeight="1" s="27">
      <c r="B34" s="42" t="inlineStr">
        <is>
          <t>TOTAL</t>
        </is>
      </c>
      <c r="C34" s="43">
        <f>SUM(C27:C33)</f>
        <v/>
      </c>
      <c r="D34" s="43">
        <f>SUM(D27:D33)</f>
        <v/>
      </c>
      <c r="E34" s="43">
        <f>SUM(E27:E33)</f>
        <v/>
      </c>
      <c r="F34" s="43">
        <f>SUM(F27:F33)</f>
        <v/>
      </c>
      <c r="G34" s="43">
        <f>SUM(G27:G33)</f>
        <v/>
      </c>
      <c r="H34" s="43">
        <f>SUM(H27:H33)</f>
        <v/>
      </c>
      <c r="I34" s="44">
        <f>IF(C34=0,0,(C34-H34)/C34)</f>
        <v/>
      </c>
      <c r="J34" s="43" t="n"/>
    </row>
    <row r="37" ht="15" customHeight="1" s="27">
      <c r="B37" s="32" t="inlineStr">
        <is>
          <t>Sign-off</t>
        </is>
      </c>
    </row>
    <row r="39" ht="15" customHeight="1" s="27">
      <c r="B39" s="30" t="inlineStr">
        <is>
          <t>Student (Ho Kang Kai)</t>
        </is>
      </c>
      <c r="C39" s="31" t="inlineStr">
        <is>
          <t>Signature:</t>
        </is>
      </c>
      <c r="D39" s="45" t="n"/>
      <c r="E39" s="45" t="n"/>
      <c r="G39" s="31" t="inlineStr">
        <is>
          <t>Date:</t>
        </is>
      </c>
      <c r="H39" s="45" t="n"/>
    </row>
    <row r="41" ht="15" customHeight="1" s="27">
      <c r="B41" s="30" t="inlineStr">
        <is>
          <t>Supervisor</t>
        </is>
      </c>
      <c r="C41" s="31" t="inlineStr">
        <is>
          <t>Signature:</t>
        </is>
      </c>
      <c r="D41" s="45" t="n"/>
      <c r="E41" s="45" t="n"/>
      <c r="G41" s="31" t="inlineStr">
        <is>
          <t>Date:</t>
        </is>
      </c>
      <c r="H41" s="45" t="n"/>
    </row>
  </sheetData>
  <mergeCells count="5">
    <mergeCell ref="B12:I12"/>
    <mergeCell ref="B13:I13"/>
    <mergeCell ref="B15:I15"/>
    <mergeCell ref="B16:I16"/>
    <mergeCell ref="B14:I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Health Monitoring</t>
        </is>
      </c>
    </row>
    <row r="2" ht="15.75" customHeight="1" s="27">
      <c r="A2" s="47" t="inlineStr">
        <is>
          <t>Health Monitoring Module (FR1.1 to FR1.17): medical report uploads, reminders, sharing, and admin verification.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HM-01</t>
        </is>
      </c>
      <c r="B5" s="48" t="inlineStr">
        <is>
          <t>FR1.1</t>
        </is>
      </c>
      <c r="C5" s="49" t="inlineStr">
        <is>
          <t>Upload health report (valid file)</t>
        </is>
      </c>
      <c r="D5" s="49" t="inlineStr">
        <is>
          <t>Log in as elder; open Health Reports; upload a PDF, JPG and PNG each under 10 MB via file picker and via drag-and-drop; fill report title, type, provider and dates; submit.</t>
        </is>
      </c>
      <c r="E5" s="49" t="inlineStr">
        <is>
          <t>All three files upload successfully; report appears in the list with correct metadata and a pending verification status.</t>
        </is>
      </c>
      <c r="F5" s="48" t="inlineStr">
        <is>
          <t>Not Tested</t>
        </is>
      </c>
      <c r="G5" s="49" t="n"/>
      <c r="H5" s="48" t="n"/>
      <c r="I5" s="48" t="n"/>
    </row>
    <row r="6" ht="48.75" customHeight="1" s="27">
      <c r="A6" s="50" t="inlineStr">
        <is>
          <t>HM-02</t>
        </is>
      </c>
      <c r="B6" s="50" t="inlineStr">
        <is>
          <t>FR1.1</t>
        </is>
      </c>
      <c r="C6" s="51" t="inlineStr">
        <is>
          <t>Upload rejection (invalid file)</t>
        </is>
      </c>
      <c r="D6" s="51" t="inlineStr">
        <is>
          <t>Attempt to upload a .docx file, then a PDF larger than 10 MB.</t>
        </is>
      </c>
      <c r="E6" s="51" t="inlineStr">
        <is>
          <t>Both uploads are blocked with a plain-language validation message stating the allowed formats (PDF, JPG, PNG) and 10 MB limit; nothing is saved.</t>
        </is>
      </c>
      <c r="F6" s="50" t="inlineStr">
        <is>
          <t>Pass</t>
        </is>
      </c>
      <c r="G6" s="51" t="inlineStr">
        <is>
          <t>Code-verified: only PDF/JPG/PNG accepted, 10 MB limit enforced with plain-language message; nothing saved on rejection.</t>
        </is>
      </c>
      <c r="H6" s="50" t="inlineStr">
        <is>
          <t>2026-07-06</t>
        </is>
      </c>
      <c r="I6" s="50" t="n"/>
    </row>
    <row r="7" ht="48.75" customHeight="1" s="27">
      <c r="A7" s="48" t="inlineStr">
        <is>
          <t>HM-03</t>
        </is>
      </c>
      <c r="B7" s="48" t="inlineStr">
        <is>
          <t>FR1.2</t>
        </is>
      </c>
      <c r="C7" s="49" t="inlineStr">
        <is>
          <t>Report list display</t>
        </is>
      </c>
      <c r="D7" s="49" t="inlineStr">
        <is>
          <t>Open the elder's health report list after several uploads.</t>
        </is>
      </c>
      <c r="E7" s="49" t="inlineStr">
        <is>
          <t>List shows only the logged-in elder's reports with report name, type, report date, due date and verification status for each entry.</t>
        </is>
      </c>
      <c r="F7" s="48" t="inlineStr">
        <is>
          <t>Not Tested</t>
        </is>
      </c>
      <c r="G7" s="49" t="n"/>
      <c r="H7" s="48" t="n"/>
      <c r="I7" s="48" t="n"/>
    </row>
    <row r="8" ht="33.75" customHeight="1" s="27">
      <c r="A8" s="50" t="inlineStr">
        <is>
          <t>HM-04</t>
        </is>
      </c>
      <c r="B8" s="50" t="inlineStr">
        <is>
          <t>FR1.3</t>
        </is>
      </c>
      <c r="C8" s="51" t="inlineStr">
        <is>
          <t>Search reports</t>
        </is>
      </c>
      <c r="D8" s="51" t="inlineStr">
        <is>
          <t>Enter a partial report name in the search box; repeat with a healthcare provider name; clear the search.</t>
        </is>
      </c>
      <c r="E8" s="51" t="inlineStr">
        <is>
          <t>Matching reports are returned for both search modes; clearing restores the full list.</t>
        </is>
      </c>
      <c r="F8" s="50" t="inlineStr">
        <is>
          <t>Not Tested</t>
        </is>
      </c>
      <c r="G8" s="51" t="n"/>
      <c r="H8" s="50" t="n"/>
      <c r="I8" s="50" t="n"/>
    </row>
    <row r="9" ht="48.75" customHeight="1" s="27">
      <c r="A9" s="48" t="inlineStr">
        <is>
          <t>HM-05</t>
        </is>
      </c>
      <c r="B9" s="48" t="inlineStr">
        <is>
          <t>FR1.4</t>
        </is>
      </c>
      <c r="C9" s="49" t="inlineStr">
        <is>
          <t>Filter reports</t>
        </is>
      </c>
      <c r="D9" s="49" t="inlineStr">
        <is>
          <t>Apply filters for report type, a date range, upload status and due status individually and combined; use Clear Filters.</t>
        </is>
      </c>
      <c r="E9" s="49" t="inlineStr">
        <is>
          <t>Each filter narrows results correctly; combined filters apply together; Clear Filters restores the full list.</t>
        </is>
      </c>
      <c r="F9" s="48" t="inlineStr">
        <is>
          <t>Not Tested</t>
        </is>
      </c>
      <c r="G9" s="49" t="n"/>
      <c r="H9" s="48" t="n"/>
      <c r="I9" s="48" t="n"/>
    </row>
    <row r="10" ht="48.75" customHeight="1" s="27">
      <c r="A10" s="50" t="inlineStr">
        <is>
          <t>HM-06</t>
        </is>
      </c>
      <c r="B10" s="50" t="inlineStr">
        <is>
          <t>FR1.5</t>
        </is>
      </c>
      <c r="C10" s="51" t="inlineStr">
        <is>
          <t>Sort reports</t>
        </is>
      </c>
      <c r="D10" s="51" t="inlineStr">
        <is>
          <t>Sort by report date, upload date, report type, healthcare provider and due date, toggling ascending and descending for each.</t>
        </is>
      </c>
      <c r="E10" s="51" t="inlineStr">
        <is>
          <t>Rows reorder correctly for every field in both directions.</t>
        </is>
      </c>
      <c r="F10" s="50" t="inlineStr">
        <is>
          <t>Not Tested</t>
        </is>
      </c>
      <c r="G10" s="51" t="n"/>
      <c r="H10" s="50" t="n"/>
      <c r="I10" s="50" t="n"/>
    </row>
    <row r="11" ht="33.75" customHeight="1" s="27">
      <c r="A11" s="48" t="inlineStr">
        <is>
          <t>HM-07</t>
        </is>
      </c>
      <c r="B11" s="48" t="inlineStr">
        <is>
          <t>FR1.6</t>
        </is>
      </c>
      <c r="C11" s="49" t="inlineStr">
        <is>
          <t>Due reminder notification</t>
        </is>
      </c>
      <c r="D11" s="49" t="inlineStr">
        <is>
          <t>Create a report reminder with a due date; wait for or trigger the reminder-processor edge function on the due date.</t>
        </is>
      </c>
      <c r="E11" s="49" t="inlineStr">
        <is>
          <t>Elder receives an in-system notification (and email where configured) that the health report is due.</t>
        </is>
      </c>
      <c r="F11" s="48" t="inlineStr">
        <is>
          <t>Not Tested</t>
        </is>
      </c>
      <c r="G11" s="49" t="inlineStr">
        <is>
          <t>Bug fixed first: reminder-processor was invoked without /run sub-path (a no-op). Now calls reminder-processor/run. Needs live re-test with a due reminder.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HM-08</t>
        </is>
      </c>
      <c r="B12" s="50" t="inlineStr">
        <is>
          <t>FR1.7</t>
        </is>
      </c>
      <c r="C12" s="51" t="inlineStr">
        <is>
          <t>Overdue alert (3 months)</t>
        </is>
      </c>
      <c r="D12" s="51" t="inlineStr">
        <is>
          <t>Set a report due date more than three months in the past (test data) and run the reminder process.</t>
        </is>
      </c>
      <c r="E12" s="51" t="inlineStr">
        <is>
          <t>An overdue alert is sent to the elder and the report is marked overdue.</t>
        </is>
      </c>
      <c r="F12" s="50" t="inlineStr">
        <is>
          <t>Not Tested</t>
        </is>
      </c>
      <c r="G12" s="51" t="inlineStr">
        <is>
          <t>Same reminder-processor fix as HM-07; overdue path needs live re-test with test data.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HM-09</t>
        </is>
      </c>
      <c r="B13" s="48" t="inlineStr">
        <is>
          <t>FR1.8</t>
        </is>
      </c>
      <c r="C13" s="49" t="inlineStr">
        <is>
          <t>Share via temporary link</t>
        </is>
      </c>
      <c r="D13" s="49" t="inlineStr">
        <is>
          <t>Share a report using the shareable link option (default 7-day expiry); open the /shared-report/:token URL in a private browser window without logging in.</t>
        </is>
      </c>
      <c r="E13" s="49" t="inlineStr">
        <is>
          <t>Public page loads the report without authentication; access count increments; expiry date recorded in health_report_shares.</t>
        </is>
      </c>
      <c r="F13" s="48" t="inlineStr">
        <is>
          <t>Pass</t>
        </is>
      </c>
      <c r="G13" s="49" t="inlineStr">
        <is>
          <t>Code-verified: public /shared-report/:token page requires no auth, access_count increments, expiry stored in health_report_shares.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HM-10</t>
        </is>
      </c>
      <c r="B14" s="50" t="inlineStr">
        <is>
          <t>FR1.8</t>
        </is>
      </c>
      <c r="C14" s="51" t="inlineStr">
        <is>
          <t>Share via email and PDF download</t>
        </is>
      </c>
      <c r="D14" s="51" t="inlineStr">
        <is>
          <t>Share a report to a recipient email address; also download the report as a PDF.</t>
        </is>
      </c>
      <c r="E14" s="51" t="inlineStr">
        <is>
          <t>Recipient email is sent containing the share link and expiry date; PDF downloads and opens correctly.</t>
        </is>
      </c>
      <c r="F14" s="50" t="inlineStr">
        <is>
          <t>Not Tested</t>
        </is>
      </c>
      <c r="G14" s="51" t="n"/>
      <c r="H14" s="50" t="n"/>
      <c r="I14" s="50" t="n"/>
    </row>
    <row r="15" ht="33.75" customHeight="1" s="27">
      <c r="A15" s="48" t="inlineStr">
        <is>
          <t>HM-11</t>
        </is>
      </c>
      <c r="B15" s="48" t="inlineStr">
        <is>
          <t>FR1.8</t>
        </is>
      </c>
      <c r="C15" s="49" t="inlineStr">
        <is>
          <t>Expired share link blocked</t>
        </is>
      </c>
      <c r="D15" s="49" t="inlineStr">
        <is>
          <t>Set a share record's expires_at to the past (test data) and open its link.</t>
        </is>
      </c>
      <c r="E15" s="49" t="inlineStr">
        <is>
          <t>Access is denied with an expiry message; report content is not shown.</t>
        </is>
      </c>
      <c r="F15" s="48" t="inlineStr">
        <is>
          <t>Pass</t>
        </is>
      </c>
      <c r="G15" s="49" t="inlineStr">
        <is>
          <t>Code-verified: expired share links are blocked with an expiry message; report content not shown.</t>
        </is>
      </c>
      <c r="H15" s="48" t="inlineStr">
        <is>
          <t>2026-07-06</t>
        </is>
      </c>
      <c r="I15" s="48" t="n"/>
    </row>
    <row r="16" ht="48.75" customHeight="1" s="27">
      <c r="A16" s="50" t="inlineStr">
        <is>
          <t>HM-12</t>
        </is>
      </c>
      <c r="B16" s="50" t="inlineStr">
        <is>
          <t>FR1.9</t>
        </is>
      </c>
      <c r="C16" s="51" t="inlineStr">
        <is>
          <t>Document archive persistence</t>
        </is>
      </c>
      <c r="D16" s="51" t="inlineStr">
        <is>
          <t>Upload documents, then revisit the account days later while the application remains active.</t>
        </is>
      </c>
      <c r="E16" s="51" t="inlineStr">
        <is>
          <t>All submitted health documents remain stored and retrievable for the duration of the active application.</t>
        </is>
      </c>
      <c r="F16" s="50" t="inlineStr">
        <is>
          <t>Not Tested</t>
        </is>
      </c>
      <c r="G16" s="51" t="n"/>
      <c r="H16" s="50" t="n"/>
      <c r="I16" s="50" t="n"/>
    </row>
    <row r="17" ht="33.75" customHeight="1" s="27">
      <c r="A17" s="48" t="inlineStr">
        <is>
          <t>HM-13</t>
        </is>
      </c>
      <c r="B17" s="48" t="inlineStr">
        <is>
          <t>FR1.10</t>
        </is>
      </c>
      <c r="C17" s="49" t="inlineStr">
        <is>
          <t>Admin views all reports</t>
        </is>
      </c>
      <c r="D17" s="49" t="inlineStr">
        <is>
          <t>Log in as admin; open /admin/health-reports.</t>
        </is>
      </c>
      <c r="E17" s="49" t="inlineStr">
        <is>
          <t>Reports from all elders are visible, each showing the applicant it belongs to.</t>
        </is>
      </c>
      <c r="F17" s="48" t="inlineStr">
        <is>
          <t>Not Tested</t>
        </is>
      </c>
      <c r="G17" s="49" t="n"/>
      <c r="H17" s="48" t="n"/>
      <c r="I17" s="48" t="n"/>
    </row>
    <row r="18" ht="48.75" customHeight="1" s="27">
      <c r="A18" s="50" t="inlineStr">
        <is>
          <t>HM-14</t>
        </is>
      </c>
      <c r="B18" s="50" t="inlineStr">
        <is>
          <t>FR1.11-1.13</t>
        </is>
      </c>
      <c r="C18" s="51" t="inlineStr">
        <is>
          <t>Admin search, filter, sort</t>
        </is>
      </c>
      <c r="D18" s="51" t="inlineStr">
        <is>
          <t>As admin, search by applicant name, report name and provider name; filter by type, date range, upload status, due status; sort by each supported field asc/desc.</t>
        </is>
      </c>
      <c r="E18" s="51" t="inlineStr">
        <is>
          <t>All admin search, filter and sort combinations behave correctly.</t>
        </is>
      </c>
      <c r="F18" s="50" t="inlineStr">
        <is>
          <t>Not Tested</t>
        </is>
      </c>
      <c r="G18" s="51" t="n"/>
      <c r="H18" s="50" t="n"/>
      <c r="I18" s="50" t="n"/>
    </row>
    <row r="19" ht="33.75" customHeight="1" s="27">
      <c r="A19" s="48" t="inlineStr">
        <is>
          <t>HM-15</t>
        </is>
      </c>
      <c r="B19" s="48" t="inlineStr">
        <is>
          <t>FR1.14</t>
        </is>
      </c>
      <c r="C19" s="49" t="inlineStr">
        <is>
          <t>Admin approves report</t>
        </is>
      </c>
      <c r="D19" s="49" t="inlineStr">
        <is>
          <t>As admin, open a submitted report, review the PDF in the viewer, click Approve and confirm.</t>
        </is>
      </c>
      <c r="E19" s="49" t="inlineStr">
        <is>
          <t>Report verification status changes to approved and the change is visible to the elder.</t>
        </is>
      </c>
      <c r="F19" s="48" t="inlineStr">
        <is>
          <t>Not Tested</t>
        </is>
      </c>
      <c r="G19" s="49" t="n"/>
      <c r="H19" s="48" t="n"/>
      <c r="I19" s="48" t="n"/>
    </row>
    <row r="20" ht="48.75" customHeight="1" s="27">
      <c r="A20" s="50" t="inlineStr">
        <is>
          <t>HM-16</t>
        </is>
      </c>
      <c r="B20" s="50" t="inlineStr">
        <is>
          <t>FR1.15</t>
        </is>
      </c>
      <c r="C20" s="51" t="inlineStr">
        <is>
          <t>Admin archives report</t>
        </is>
      </c>
      <c r="D20" s="51" t="inlineStr">
        <is>
          <t>As admin, click Archive on a report.</t>
        </is>
      </c>
      <c r="E20" s="51" t="inlineStr">
        <is>
          <t>A confirmation prompt appears first; after confirming, the report is archived and removed from the active list.</t>
        </is>
      </c>
      <c r="F20" s="50" t="inlineStr">
        <is>
          <t>Not Tested</t>
        </is>
      </c>
      <c r="G20" s="51" t="n"/>
      <c r="H20" s="50" t="n"/>
      <c r="I20" s="50" t="n"/>
    </row>
    <row r="21" ht="48.75" customHeight="1" s="27">
      <c r="A21" s="48" t="inlineStr">
        <is>
          <t>HM-17</t>
        </is>
      </c>
      <c r="B21" s="48" t="inlineStr">
        <is>
          <t>FR1.16</t>
        </is>
      </c>
      <c r="C21" s="49" t="inlineStr">
        <is>
          <t>Admin flags report</t>
        </is>
      </c>
      <c r="D21" s="49" t="inlineStr">
        <is>
          <t>As admin, flag a report; try to confirm without a reason, then enter a written reason and confirm.</t>
        </is>
      </c>
      <c r="E21" s="49" t="inlineStr">
        <is>
          <t>Flagging is blocked until a reason is entered; once flagged, the item is routed to the Customer Support dashboard and the elder is notified.</t>
        </is>
      </c>
      <c r="F21" s="48" t="inlineStr">
        <is>
          <t>Not Tested</t>
        </is>
      </c>
      <c r="G21" s="49" t="n"/>
      <c r="H21" s="48" t="n"/>
      <c r="I21" s="48" t="n"/>
    </row>
    <row r="22" ht="33.75" customHeight="1" s="27">
      <c r="A22" s="50" t="inlineStr">
        <is>
          <t>HM-18</t>
        </is>
      </c>
      <c r="B22" s="50" t="inlineStr">
        <is>
          <t>FR1.17</t>
        </is>
      </c>
      <c r="C22" s="51" t="inlineStr">
        <is>
          <t>Due-date status badge</t>
        </is>
      </c>
      <c r="D22" s="51" t="inlineStr">
        <is>
          <t>As admin, view reports that are up to date, due soon and overdue (test data).</t>
        </is>
      </c>
      <c r="E22" s="51" t="inlineStr">
        <is>
          <t>Each report shows the correct badge state: up to date, due soon or overdue.</t>
        </is>
      </c>
      <c r="F22" s="50" t="inlineStr">
        <is>
          <t>Not Tested</t>
        </is>
      </c>
      <c r="G22" s="51" t="n"/>
      <c r="H22" s="50" t="n"/>
      <c r="I22" s="50" t="n"/>
    </row>
    <row r="23" ht="48.75" customHeight="1" s="27">
      <c r="A23" s="48" t="inlineStr">
        <is>
          <t>HM-19</t>
        </is>
      </c>
      <c r="B23" s="48" t="inlineStr">
        <is>
          <t>-</t>
        </is>
      </c>
      <c r="C23" s="49" t="inlineStr">
        <is>
          <t>Reminder maintenance</t>
        </is>
      </c>
      <c r="D23" s="49" t="inlineStr">
        <is>
          <t>As elder, create a reminder, edit its date and category, mark it as notified, then delete it.</t>
        </is>
      </c>
      <c r="E23" s="49" t="inlineStr">
        <is>
          <t>Create, edit, mark-notified and delete all persist correctly; upcoming and overdue reminder lists refresh.</t>
        </is>
      </c>
      <c r="F23" s="48" t="inlineStr">
        <is>
          <t>Not Tested</t>
        </is>
      </c>
      <c r="G23" s="49" t="n"/>
      <c r="H23" s="48" t="n"/>
      <c r="I23" s="48" t="n"/>
    </row>
  </sheetData>
  <autoFilter ref="A4:I23"/>
  <mergeCells count="2">
    <mergeCell ref="A1:I1"/>
    <mergeCell ref="A2:I2"/>
  </mergeCells>
  <conditionalFormatting sqref="F5:F23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23" showDropDown="0" showInputMessage="0" showErrorMessage="0" allowBlank="1" type="list" errorStyle="stop" operator="between">
      <formula1>"Pass,Fail,Partial,Blocked,Not Tested"</formula1>
      <formula2>0</formula2>
    </dataValidation>
    <dataValidation sqref="I5:I23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Application Mgmt</t>
        </is>
      </c>
    </row>
    <row r="2" ht="15.75" customHeight="1" s="27">
      <c r="A2" s="47" t="inlineStr">
        <is>
          <t>Application Management Module (FR2.1 to FR2.14): application lifecycle from draft through submission, review, approval and termination.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78.75" customHeight="1" s="27">
      <c r="A5" s="48" t="inlineStr">
        <is>
          <t>AM-01</t>
        </is>
      </c>
      <c r="B5" s="48" t="inlineStr">
        <is>
          <t>FR2.1</t>
        </is>
      </c>
      <c r="C5" s="49" t="inlineStr">
        <is>
          <t>Create new application (7-step wizard)</t>
        </is>
      </c>
      <c r="D5" s="49" t="inlineStr">
        <is>
          <t>Log in as a new elder; start an application; select the lending organisation; step through Step 1 Personal Information, Step 2 Joint Applicant and Banking, Step 3 Property, Step 4 Nominees, Step 5 Privacy and Declaration, Step 6 Signatures and Documents, Step 7 Review and Submit.</t>
        </is>
      </c>
      <c r="E5" s="49" t="inlineStr">
        <is>
          <t>Wizard opens at Step 1 and all seven steps are reachable in order with a visible progress indicator.</t>
        </is>
      </c>
      <c r="F5" s="48" t="inlineStr">
        <is>
          <t>Not Tested</t>
        </is>
      </c>
      <c r="G5" s="49" t="n"/>
      <c r="H5" s="48" t="n"/>
      <c r="I5" s="48" t="n"/>
    </row>
    <row r="6" ht="48.75" customHeight="1" s="27">
      <c r="A6" s="50" t="inlineStr">
        <is>
          <t>AM-02</t>
        </is>
      </c>
      <c r="B6" s="50" t="inlineStr">
        <is>
          <t>FR2.2</t>
        </is>
      </c>
      <c r="C6" s="51" t="inlineStr">
        <is>
          <t>Draft auto-save and resume</t>
        </is>
      </c>
      <c r="D6" s="51" t="inlineStr">
        <is>
          <t>Fill part of Step 2, stop typing for a moment, log out, then log back in and reopen the application.</t>
        </is>
      </c>
      <c r="E6" s="51" t="inlineStr">
        <is>
          <t>Form state is auto-saved to Supabase (1-second debounce, localStorage fallback) and the wizard resumes at the saved step with all entered data intact.</t>
        </is>
      </c>
      <c r="F6" s="50" t="inlineStr">
        <is>
          <t>Pass</t>
        </is>
      </c>
      <c r="G6" s="51" t="inlineStr">
        <is>
          <t>Code-verified: 1 s debounced auto-save to Supabase with localStorage fallback; wizard resumes at saved step with data intact.</t>
        </is>
      </c>
      <c r="H6" s="50" t="inlineStr">
        <is>
          <t>2026-07-06</t>
        </is>
      </c>
      <c r="I6" s="50" t="n"/>
    </row>
    <row r="7" ht="63.75" customHeight="1" s="27">
      <c r="A7" s="48" t="inlineStr">
        <is>
          <t>AM-03</t>
        </is>
      </c>
      <c r="B7" s="48" t="inlineStr">
        <is>
          <t>FR2.3</t>
        </is>
      </c>
      <c r="C7" s="49" t="inlineStr">
        <is>
          <t>Automatic eligibility validation</t>
        </is>
      </c>
      <c r="D7" s="49" t="inlineStr">
        <is>
          <t>Enter an IC number giving an age below 55, then one above 120, then a valid one (55 to 120).</t>
        </is>
      </c>
      <c r="E7" s="49" t="inlineStr">
        <is>
          <t>Underage and overage applicants are blocked with clear messages; valid age passes. Birth date and sex auto-derive from the Malaysian IC (YYMMDD-PB-###G).</t>
        </is>
      </c>
      <c r="F7" s="48" t="inlineStr">
        <is>
          <t>Not Tested</t>
        </is>
      </c>
      <c r="G7" s="49" t="n"/>
      <c r="H7" s="48" t="n"/>
      <c r="I7" s="48" t="n"/>
    </row>
    <row r="8" ht="48.75" customHeight="1" s="27">
      <c r="A8" s="50" t="inlineStr">
        <is>
          <t>AM-04</t>
        </is>
      </c>
      <c r="B8" s="50" t="inlineStr">
        <is>
          <t>FR2.3</t>
        </is>
      </c>
      <c r="C8" s="51" t="inlineStr">
        <is>
          <t>Per-step field validation</t>
        </is>
      </c>
      <c r="D8" s="51" t="inlineStr">
        <is>
          <t>On each step, click Next with required fields empty; enter an invalid IC, phone, postcode, email and account number.</t>
        </is>
      </c>
      <c r="E8" s="51" t="inlineStr">
        <is>
          <t>Next is blocked and custom React validation messages identify each invalid field (no browser-native popups); valid input clears the errors.</t>
        </is>
      </c>
      <c r="F8" s="50" t="inlineStr">
        <is>
          <t>Not Tested</t>
        </is>
      </c>
      <c r="G8" s="51" t="n"/>
      <c r="H8" s="50" t="n"/>
      <c r="I8" s="50" t="n"/>
    </row>
    <row r="9" ht="48.75" customHeight="1" s="27">
      <c r="A9" s="48" t="inlineStr">
        <is>
          <t>AM-05</t>
        </is>
      </c>
      <c r="B9" s="48" t="inlineStr">
        <is>
          <t>FR2.4</t>
        </is>
      </c>
      <c r="C9" s="49" t="inlineStr">
        <is>
          <t>Disqualifying condition alerts</t>
        </is>
      </c>
      <c r="D9" s="49" t="inlineStr">
        <is>
          <t>Enter property details that fail scheme criteria (for example non-freehold tenure or unsupported property type) and proceed toward submission.</t>
        </is>
      </c>
      <c r="E9" s="49" t="inlineStr">
        <is>
          <t>Clear alerts identify each disqualifying condition before the application can be submitted.</t>
        </is>
      </c>
      <c r="F9" s="48" t="inlineStr">
        <is>
          <t>Not Tested</t>
        </is>
      </c>
      <c r="G9" s="49" t="n"/>
      <c r="H9" s="48" t="n"/>
      <c r="I9" s="48" t="n"/>
    </row>
    <row r="10" ht="78.75" customHeight="1" s="27">
      <c r="A10" s="50" t="inlineStr">
        <is>
          <t>AM-06</t>
        </is>
      </c>
      <c r="B10" s="50" t="inlineStr">
        <is>
          <t>FR2.5</t>
        </is>
      </c>
      <c r="C10" s="51" t="inlineStr">
        <is>
          <t>Submit completed application</t>
        </is>
      </c>
      <c r="D10" s="51" t="inlineStr">
        <is>
          <t>Complete all steps with valid data and signatures, then submit from Step 7.</t>
        </is>
      </c>
      <c r="E10" s="51" t="inlineStr">
        <is>
          <t>Nominee and property records are written; a filled PDF is generated from the Application_Form template (signatures embedded on the correct pages); the PDF uploads to the application-forms storage bucket; status changes draft to submitted.</t>
        </is>
      </c>
      <c r="F10" s="50" t="inlineStr">
        <is>
          <t>Pass</t>
        </is>
      </c>
      <c r="G10" s="51" t="inlineStr">
        <is>
          <t>Code-verified: nominees/property written, PDF generated from template with signatures, uploaded to application-forms bucket, status draft-&gt;submitted. Fixed: is_encumbered was always saved false (wrong form field); submit button no longer sticks on DB failure.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AM-07</t>
        </is>
      </c>
      <c r="B11" s="48" t="inlineStr">
        <is>
          <t>FR2.6</t>
        </is>
      </c>
      <c r="C11" s="49" t="inlineStr">
        <is>
          <t>Modify before approval</t>
        </is>
      </c>
      <c r="D11" s="49" t="inlineStr">
        <is>
          <t>With a submitted (not yet approved) application, edit personal details, property details, uploaded documents and nominee information from the Maintain Application page.</t>
        </is>
      </c>
      <c r="E11" s="49" t="inlineStr">
        <is>
          <t>All edits save successfully and are reflected in the application record.</t>
        </is>
      </c>
      <c r="F11" s="48" t="inlineStr">
        <is>
          <t>Not Tested</t>
        </is>
      </c>
      <c r="G11" s="49" t="n"/>
      <c r="H11" s="48" t="n"/>
      <c r="I11" s="48" t="n"/>
    </row>
    <row r="12" ht="33.75" customHeight="1" s="27">
      <c r="A12" s="50" t="inlineStr">
        <is>
          <t>AM-08</t>
        </is>
      </c>
      <c r="B12" s="50" t="inlineStr">
        <is>
          <t>FR2.7</t>
        </is>
      </c>
      <c r="C12" s="51" t="inlineStr">
        <is>
          <t>Modification locked after approval</t>
        </is>
      </c>
      <c r="D12" s="51" t="inlineStr">
        <is>
          <t>After admin approval, attempt to edit the same sections.</t>
        </is>
      </c>
      <c r="E12" s="51" t="inlineStr">
        <is>
          <t>All modification actions are disabled or rejected; the application is read-only.</t>
        </is>
      </c>
      <c r="F12" s="50" t="inlineStr">
        <is>
          <t>Pass</t>
        </is>
      </c>
      <c r="G12" s="51" t="inlineStr">
        <is>
          <t>Fixed this session: /application/edit-nominees was not gated after approval - any user could still edit nominees. Now blocked on load and on save when status is approved/terminated, except the support-flagged inactive-nominee replacement flow.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AM-09</t>
        </is>
      </c>
      <c r="B13" s="48" t="inlineStr">
        <is>
          <t>FR2.8</t>
        </is>
      </c>
      <c r="C13" s="49" t="inlineStr">
        <is>
          <t>Cancel before approval</t>
        </is>
      </c>
      <c r="D13" s="49" t="inlineStr">
        <is>
          <t>Cancel a submitted application; try to confirm without a reason, then provide one.</t>
        </is>
      </c>
      <c r="E13" s="49" t="inlineStr">
        <is>
          <t>Cancellation requires a reason; the reason is recorded and the application leaves the active pipeline.</t>
        </is>
      </c>
      <c r="F13" s="48" t="inlineStr">
        <is>
          <t>Pass</t>
        </is>
      </c>
      <c r="G13" s="49" t="inlineStr">
        <is>
          <t>Code-verified: cancellation/termination requires a written reason; reason recorded.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AM-10</t>
        </is>
      </c>
      <c r="B14" s="50" t="inlineStr">
        <is>
          <t>FR2.9</t>
        </is>
      </c>
      <c r="C14" s="51" t="inlineStr">
        <is>
          <t>Status and progress visibility</t>
        </is>
      </c>
      <c r="D14" s="51" t="inlineStr">
        <is>
          <t>Open the application status page at each lifecycle stage (draft, submitted, underReviewed, approved, terminated).</t>
        </is>
      </c>
      <c r="E14" s="51" t="inlineStr">
        <is>
          <t>The current status and a timeline of progress events are always displayed accurately to the elder.</t>
        </is>
      </c>
      <c r="F14" s="50" t="inlineStr">
        <is>
          <t>Not Tested</t>
        </is>
      </c>
      <c r="G14" s="51" t="n"/>
      <c r="H14" s="50" t="n"/>
      <c r="I14" s="50" t="n"/>
    </row>
    <row r="15" ht="48.75" customHeight="1" s="27">
      <c r="A15" s="48" t="inlineStr">
        <is>
          <t>AM-11</t>
        </is>
      </c>
      <c r="B15" s="48" t="inlineStr">
        <is>
          <t>FR2.10</t>
        </is>
      </c>
      <c r="C15" s="49" t="inlineStr">
        <is>
          <t>Termination request after approval</t>
        </is>
      </c>
      <c r="D15" s="49" t="inlineStr">
        <is>
          <t>With an approved application, submit a termination request from the user side.</t>
        </is>
      </c>
      <c r="E15" s="49" t="inlineStr">
        <is>
          <t>Request is accepted; status moves approved to underReviewed pending admin decision, and the elder can track it.</t>
        </is>
      </c>
      <c r="F15" s="48" t="inlineStr">
        <is>
          <t>Pass</t>
        </is>
      </c>
      <c r="G15" s="49" t="inlineStr">
        <is>
          <t>Code-verified: termination request moves approved -&gt; underReviewed with pending banner; elder can track it.</t>
        </is>
      </c>
      <c r="H15" s="48" t="inlineStr">
        <is>
          <t>2026-07-06</t>
        </is>
      </c>
      <c r="I15" s="48" t="n"/>
    </row>
    <row r="16" ht="48.75" customHeight="1" s="27">
      <c r="A16" s="50" t="inlineStr">
        <is>
          <t>AM-12</t>
        </is>
      </c>
      <c r="B16" s="50" t="inlineStr">
        <is>
          <t>FR2.11</t>
        </is>
      </c>
      <c r="C16" s="51" t="inlineStr">
        <is>
          <t>Nominee property redemption</t>
        </is>
      </c>
      <c r="D16" s="51" t="inlineStr">
        <is>
          <t>Using test data for a deceased elder or terminated scheme, submit a property redemption application as the nominee.</t>
        </is>
      </c>
      <c r="E16" s="51" t="inlineStr">
        <is>
          <t>Redemption application is created, linked to the original application and visible to the administrator.</t>
        </is>
      </c>
      <c r="F16" s="50" t="inlineStr">
        <is>
          <t>Not Tested</t>
        </is>
      </c>
      <c r="G16" s="51" t="n"/>
      <c r="H16" s="50" t="n"/>
      <c r="I16" s="50" t="n"/>
    </row>
    <row r="17" ht="33.75" customHeight="1" s="27">
      <c r="A17" s="48" t="inlineStr">
        <is>
          <t>AM-13</t>
        </is>
      </c>
      <c r="B17" s="48" t="inlineStr">
        <is>
          <t>FR2.14</t>
        </is>
      </c>
      <c r="C17" s="49" t="inlineStr">
        <is>
          <t>Status-change notifications</t>
        </is>
      </c>
      <c r="D17" s="49" t="inlineStr">
        <is>
          <t>As admin, move an application through submitted, underReviewed, approved (or rejected).</t>
        </is>
      </c>
      <c r="E17" s="49" t="inlineStr">
        <is>
          <t>On every status change the elder receives an email or in-system notification stating the new status.</t>
        </is>
      </c>
      <c r="F17" s="48" t="inlineStr">
        <is>
          <t>Fail</t>
        </is>
      </c>
      <c r="G17" s="49" t="inlineStr">
        <is>
          <t>Not implemented: no email or in-system notification is sent on any status change. No notification infrastructure exists (reminders table is health-specific). Elder only sees the new status when visiting the status page.</t>
        </is>
      </c>
      <c r="H17" s="48" t="inlineStr">
        <is>
          <t>2026-07-06</t>
        </is>
      </c>
      <c r="I17" s="48" t="n"/>
    </row>
    <row r="18" ht="33.75" customHeight="1" s="27">
      <c r="A18" s="50" t="inlineStr">
        <is>
          <t>AM-14</t>
        </is>
      </c>
      <c r="B18" s="50" t="inlineStr">
        <is>
          <t>-</t>
        </is>
      </c>
      <c r="C18" s="51" t="inlineStr">
        <is>
          <t>Document upload and replacement in wizard</t>
        </is>
      </c>
      <c r="D18" s="51" t="inlineStr">
        <is>
          <t>In Step 6, upload a supporting document, delete it, then upload a replacement.</t>
        </is>
      </c>
      <c r="E18" s="51" t="inlineStr">
        <is>
          <t>Upload, delete and replace all work; only the final document remains attached to the application.</t>
        </is>
      </c>
      <c r="F18" s="50" t="inlineStr">
        <is>
          <t>Not Tested</t>
        </is>
      </c>
      <c r="G18" s="51" t="n"/>
      <c r="H18" s="50" t="n"/>
      <c r="I18" s="50" t="n"/>
    </row>
    <row r="19" ht="48.75" customHeight="1" s="27">
      <c r="A19" s="48" t="inlineStr">
        <is>
          <t>AM-15</t>
        </is>
      </c>
      <c r="B19" s="48" t="inlineStr">
        <is>
          <t>-</t>
        </is>
      </c>
      <c r="C19" s="49" t="inlineStr">
        <is>
          <t>Duplicate IC prevention</t>
        </is>
      </c>
      <c r="D19" s="49" t="inlineStr">
        <is>
          <t>Enter the applicant's IC again as the joint applicant, then as a nominee; also try a nominee IC already used by another nominee.</t>
        </is>
      </c>
      <c r="E19" s="49" t="inlineStr">
        <is>
          <t>Duplicate IC combinations are rejected with a message that the person must not duplicate existing applicant or nominee information.</t>
        </is>
      </c>
      <c r="F19" s="48" t="inlineStr">
        <is>
          <t>Pass</t>
        </is>
      </c>
      <c r="G19" s="49" t="inlineStr">
        <is>
          <t>Fixed in session 1: duplicate-person comparison in addDuplicatePersonErrors was broken; applicant/joint/nominee duplicate ICs are now rejected.</t>
        </is>
      </c>
      <c r="H19" s="48" t="inlineStr">
        <is>
          <t>2026-07-06</t>
        </is>
      </c>
      <c r="I19" s="48" t="n"/>
    </row>
    <row r="20" ht="48.75" customHeight="1" s="27">
      <c r="A20" s="50" t="inlineStr">
        <is>
          <t>AM-16</t>
        </is>
      </c>
      <c r="B20" s="50" t="inlineStr">
        <is>
          <t>-</t>
        </is>
      </c>
      <c r="C20" s="51" t="inlineStr">
        <is>
          <t>Generated PDF field mapping</t>
        </is>
      </c>
      <c r="D20" s="51" t="inlineStr">
        <is>
          <t>Download the generated application PDF after submission and compare every filled field, checkbox and radio group against the data entered in the wizard.</t>
        </is>
      </c>
      <c r="E20" s="51" t="inlineStr">
        <is>
          <t>All fields map correctly; applicant and joint signatures appear on page 4 and the nominee acknowledgement signature on page 6.</t>
        </is>
      </c>
      <c r="F20" s="50" t="inlineStr">
        <is>
          <t>Pass</t>
        </is>
      </c>
      <c r="G20" s="51" t="inlineStr">
        <is>
          <t>Code-verified in session 1: field/checkbox/radio mapping correct; applicant+joint signatures page 4, nominee acknowledgement page 6.</t>
        </is>
      </c>
      <c r="H20" s="50" t="inlineStr">
        <is>
          <t>2026-07-06</t>
        </is>
      </c>
      <c r="I20" s="50" t="n"/>
    </row>
    <row r="21" ht="48.75" customHeight="1" s="27">
      <c r="A21" s="48" t="inlineStr">
        <is>
          <t>AM-17</t>
        </is>
      </c>
      <c r="B21" s="48" t="inlineStr">
        <is>
          <t>-</t>
        </is>
      </c>
      <c r="C21" s="49" t="inlineStr">
        <is>
          <t>Returned-for-correction flow</t>
        </is>
      </c>
      <c r="D21" s="49" t="inlineStr">
        <is>
          <t>Have admin return an application with notes; as elder, dismiss the reject reason banner, upload the corrected document and resubmit.</t>
        </is>
      </c>
      <c r="E21" s="49" t="inlineStr">
        <is>
          <t>Notes are visible to the elder; corrected resubmission moves the application back into review.</t>
        </is>
      </c>
      <c r="F21" s="48" t="inlineStr">
        <is>
          <t>Partial</t>
        </is>
      </c>
      <c r="G21" s="49" t="inlineStr">
        <is>
          <t>No dedicated 'returned' status. Return-with-notes works via document flagging (fixed this session, see AD-10) plus status-modal remarks. Elder now sees rejection and flagged-document banners and can re-upload; flag auto-clears once no documents are missing.</t>
        </is>
      </c>
      <c r="H21" s="48" t="inlineStr">
        <is>
          <t>2026-07-06</t>
        </is>
      </c>
      <c r="I21" s="48" t="n"/>
    </row>
  </sheetData>
  <autoFilter ref="A4:I21"/>
  <mergeCells count="2">
    <mergeCell ref="A1:I1"/>
    <mergeCell ref="A2:I2"/>
  </mergeCells>
  <conditionalFormatting sqref="F5:F21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21" showDropDown="0" showInputMessage="0" showErrorMessage="0" allowBlank="1" type="list" errorStyle="stop" operator="between">
      <formula1>"Pass,Fail,Partial,Blocked,Not Tested"</formula1>
      <formula2>0</formula2>
    </dataValidation>
    <dataValidation sqref="I5:I21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Customer Support</t>
        </is>
      </c>
    </row>
    <row r="2" ht="15.75" customHeight="1" s="27">
      <c r="A2" s="47" t="inlineStr">
        <is>
          <t>Customer Support Module (FR3.1 to FR3.11): FAQs, tutorials, inquiries, real-time chat and proactive alerts.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CS-01</t>
        </is>
      </c>
      <c r="B5" s="48" t="inlineStr">
        <is>
          <t>FR3.1</t>
        </is>
      </c>
      <c r="C5" s="49" t="inlineStr">
        <is>
          <t>FAQ self-help section</t>
        </is>
      </c>
      <c r="D5" s="49" t="inlineStr">
        <is>
          <t>Open the FAQ section as an elder and review entries on application procedure, payout calculation, eligibility and required documents.</t>
        </is>
      </c>
      <c r="E5" s="49" t="inlineStr">
        <is>
          <t>FAQ renders correctly and covers the four required topic areas.</t>
        </is>
      </c>
      <c r="F5" s="48" t="inlineStr">
        <is>
          <t>Not Tested</t>
        </is>
      </c>
      <c r="G5" s="49" t="n"/>
      <c r="H5" s="48" t="n"/>
      <c r="I5" s="48" t="n"/>
    </row>
    <row r="6" ht="33.75" customHeight="1" s="27">
      <c r="A6" s="50" t="inlineStr">
        <is>
          <t>CS-02</t>
        </is>
      </c>
      <c r="B6" s="50" t="inlineStr">
        <is>
          <t>FR3.2</t>
        </is>
      </c>
      <c r="C6" s="51" t="inlineStr">
        <is>
          <t>Step-by-step tutorials</t>
        </is>
      </c>
      <c r="D6" s="51" t="inlineStr">
        <is>
          <t>Open the guided tutorial or walkthrough for completing the application form and for uploading health reports.</t>
        </is>
      </c>
      <c r="E6" s="51" t="inlineStr">
        <is>
          <t>Tutorials display in order and match the current UI.</t>
        </is>
      </c>
      <c r="F6" s="50" t="inlineStr">
        <is>
          <t>Not Tested</t>
        </is>
      </c>
      <c r="G6" s="51" t="n"/>
      <c r="H6" s="50" t="n"/>
      <c r="I6" s="50" t="n"/>
    </row>
    <row r="7" ht="48.75" customHeight="1" s="27">
      <c r="A7" s="48" t="inlineStr">
        <is>
          <t>CS-03</t>
        </is>
      </c>
      <c r="B7" s="48" t="inlineStr">
        <is>
          <t>FR3.3</t>
        </is>
      </c>
      <c r="C7" s="49" t="inlineStr">
        <is>
          <t>Submit general inquiry</t>
        </is>
      </c>
      <c r="D7" s="49" t="inlineStr">
        <is>
          <t>Submit the contact form empty, then with an invalid and a disposable email, then with valid data.</t>
        </is>
      </c>
      <c r="E7" s="49" t="inlineStr">
        <is>
          <t>Invalid submissions are blocked with field-level messages (including temp-email rejection); a valid inquiry is created with status open.</t>
        </is>
      </c>
      <c r="F7" s="48" t="inlineStr">
        <is>
          <t>Pass</t>
        </is>
      </c>
      <c r="G7" s="49" t="inlineStr">
        <is>
          <t>Code-verified: empty/invalid/disposable emails blocked with field-level messages; valid inquiry created with status open.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CS-04</t>
        </is>
      </c>
      <c r="B8" s="50" t="inlineStr">
        <is>
          <t>FR3.4</t>
        </is>
      </c>
      <c r="C8" s="51" t="inlineStr">
        <is>
          <t>Support contact details display</t>
        </is>
      </c>
      <c r="D8" s="51" t="inlineStr">
        <is>
          <t>View the support page as an elder.</t>
        </is>
      </c>
      <c r="E8" s="51" t="inlineStr">
        <is>
          <t>Current phone number, email address and operating hours are displayed.</t>
        </is>
      </c>
      <c r="F8" s="50" t="inlineStr">
        <is>
          <t>Not Tested</t>
        </is>
      </c>
      <c r="G8" s="51" t="n"/>
      <c r="H8" s="50" t="n"/>
      <c r="I8" s="50" t="n"/>
    </row>
    <row r="9" ht="48.75" customHeight="1" s="27">
      <c r="A9" s="48" t="inlineStr">
        <is>
          <t>CS-05</t>
        </is>
      </c>
      <c r="B9" s="48" t="inlineStr">
        <is>
          <t>FR3.5</t>
        </is>
      </c>
      <c r="C9" s="49" t="inlineStr">
        <is>
          <t>Critical alerts to elder</t>
        </is>
      </c>
      <c r="D9" s="49" t="inlineStr">
        <is>
          <t>Trigger a deadline-approaching alert and a flagged-document alert (test data).</t>
        </is>
      </c>
      <c r="E9" s="49" t="inlineStr">
        <is>
          <t>Elder receives an alert notification for both events identifying the deadline or the flagged document.</t>
        </is>
      </c>
      <c r="F9" s="48" t="inlineStr">
        <is>
          <t>Not Tested</t>
        </is>
      </c>
      <c r="G9" s="49" t="n"/>
      <c r="H9" s="48" t="n"/>
      <c r="I9" s="48" t="n"/>
    </row>
    <row r="10" ht="48.75" customHeight="1" s="27">
      <c r="A10" s="50" t="inlineStr">
        <is>
          <t>CS-06</t>
        </is>
      </c>
      <c r="B10" s="50" t="inlineStr">
        <is>
          <t>FR3.6</t>
        </is>
      </c>
      <c r="C10" s="51" t="inlineStr">
        <is>
          <t>Staff inquiry dashboard</t>
        </is>
      </c>
      <c r="D10" s="51" t="inlineStr">
        <is>
          <t>Log in as customer support staff; open the support dashboard.</t>
        </is>
      </c>
      <c r="E10" s="51" t="inlineStr">
        <is>
          <t>All inquiries are listed and organised by status (open, in progress, resolved) with working tab or status grouping.</t>
        </is>
      </c>
      <c r="F10" s="50" t="inlineStr">
        <is>
          <t>Not Tested</t>
        </is>
      </c>
      <c r="G10" s="51" t="n"/>
      <c r="H10" s="50" t="n"/>
      <c r="I10" s="50" t="n"/>
    </row>
    <row r="11" ht="48.75" customHeight="1" s="27">
      <c r="A11" s="48" t="inlineStr">
        <is>
          <t>CS-07</t>
        </is>
      </c>
      <c r="B11" s="48" t="inlineStr">
        <is>
          <t>FR3.7</t>
        </is>
      </c>
      <c r="C11" s="49" t="inlineStr">
        <is>
          <t>Staff reply to inquiry</t>
        </is>
      </c>
      <c r="D11" s="49" t="inlineStr">
        <is>
          <t>As staff, open an inquiry and send a reply while the elder has the support page open in another browser.</t>
        </is>
      </c>
      <c r="E11" s="49" t="inlineStr">
        <is>
          <t>Reply is stored in support_conversations and appears on the elder's screen in real time without a page refresh.</t>
        </is>
      </c>
      <c r="F11" s="48" t="inlineStr">
        <is>
          <t>Pass</t>
        </is>
      </c>
      <c r="G11" s="49" t="inlineStr">
        <is>
          <t>Fixed in session 1: realtime subscriptions used an unsupported comma-joined double filter so replies never arrived live. Now single filter + client-side match. Live two-browser test advisable.</t>
        </is>
      </c>
      <c r="H11" s="48" t="inlineStr">
        <is>
          <t>2026-07-06</t>
        </is>
      </c>
      <c r="I11" s="48" t="n"/>
    </row>
    <row r="12" ht="48.75" customHeight="1" s="27">
      <c r="A12" s="50" t="inlineStr">
        <is>
          <t>CS-08</t>
        </is>
      </c>
      <c r="B12" s="50" t="inlineStr">
        <is>
          <t>-</t>
        </is>
      </c>
      <c r="C12" s="51" t="inlineStr">
        <is>
          <t>Two-way real-time chat</t>
        </is>
      </c>
      <c r="D12" s="51" t="inlineStr">
        <is>
          <t>Exchange several messages in both directions between elder and staff.</t>
        </is>
      </c>
      <c r="E12" s="51" t="inlineStr">
        <is>
          <t>Messages appear live on both sides via Supabase channel subscriptions, in correct order, linked by entity_type and entity_id.</t>
        </is>
      </c>
      <c r="F12" s="50" t="inlineStr">
        <is>
          <t>Pass</t>
        </is>
      </c>
      <c r="G12" s="51" t="inlineStr">
        <is>
          <t>Same realtime fix as CS-07; messages linked by entity_type + entity_id. Live two-browser test advisable.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CS-09</t>
        </is>
      </c>
      <c r="B13" s="48" t="inlineStr">
        <is>
          <t>FR3.8</t>
        </is>
      </c>
      <c r="C13" s="49" t="inlineStr">
        <is>
          <t>Resolve inquiry and lock thread</t>
        </is>
      </c>
      <c r="D13" s="49" t="inlineStr">
        <is>
          <t>As staff, mark the inquiry resolved; as elder, attempt to send another message.</t>
        </is>
      </c>
      <c r="E13" s="49" t="inlineStr">
        <is>
          <t>Status updates to resolved in real time; the elder's message composer is hidden and sending is blocked in the controller.</t>
        </is>
      </c>
      <c r="F13" s="48" t="inlineStr">
        <is>
          <t>Pass</t>
        </is>
      </c>
      <c r="G13" s="49" t="inlineStr">
        <is>
          <t>Code-verified: resolved status updates in real time; elder composer hidden and sending blocked in controller.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CS-10</t>
        </is>
      </c>
      <c r="B14" s="50" t="inlineStr">
        <is>
          <t>FR3.9</t>
        </is>
      </c>
      <c r="C14" s="51" t="inlineStr">
        <is>
          <t>Proactive notifications</t>
        </is>
      </c>
      <c r="D14" s="51" t="inlineStr">
        <is>
          <t>As staff, compose and send a notification to an individual elder, then to a group (for example a deadline reminder).</t>
        </is>
      </c>
      <c r="E14" s="51" t="inlineStr">
        <is>
          <t>Both messages are delivered to the intended recipients only.</t>
        </is>
      </c>
      <c r="F14" s="50" t="inlineStr">
        <is>
          <t>Not Tested</t>
        </is>
      </c>
      <c r="G14" s="51" t="n"/>
      <c r="H14" s="50" t="n"/>
      <c r="I14" s="50" t="n"/>
    </row>
    <row r="15" ht="33.75" customHeight="1" s="27">
      <c r="A15" s="48" t="inlineStr">
        <is>
          <t>CS-11</t>
        </is>
      </c>
      <c r="B15" s="48" t="inlineStr">
        <is>
          <t>FR3.10</t>
        </is>
      </c>
      <c r="C15" s="49" t="inlineStr">
        <is>
          <t>Update public contact info</t>
        </is>
      </c>
      <c r="D15" s="49" t="inlineStr">
        <is>
          <t>As staff, edit the displayed phone, email and hours; reload the elder support page.</t>
        </is>
      </c>
      <c r="E15" s="49" t="inlineStr">
        <is>
          <t>New contact details persist (settings storage) and are shown to elders.</t>
        </is>
      </c>
      <c r="F15" s="48" t="inlineStr">
        <is>
          <t>Not Tested</t>
        </is>
      </c>
      <c r="G15" s="49" t="n"/>
      <c r="H15" s="48" t="n"/>
      <c r="I15" s="48" t="n"/>
    </row>
    <row r="16" ht="48.75" customHeight="1" s="27">
      <c r="A16" s="50" t="inlineStr">
        <is>
          <t>CS-12</t>
        </is>
      </c>
      <c r="B16" s="50" t="inlineStr">
        <is>
          <t>FR3.11</t>
        </is>
      </c>
      <c r="C16" s="51" t="inlineStr">
        <is>
          <t>Nominee view and application flagging</t>
        </is>
      </c>
      <c r="D16" s="51" t="inlineStr">
        <is>
          <t>As staff, open the nominee details for an elder's application and flag the application with a written reason.</t>
        </is>
      </c>
      <c r="E16" s="51" t="inlineStr">
        <is>
          <t>Nominee details display correctly; the flag with its reason is recorded and visible to the administrator.</t>
        </is>
      </c>
      <c r="F16" s="50" t="inlineStr">
        <is>
          <t>Not Tested</t>
        </is>
      </c>
      <c r="G16" s="51" t="n"/>
      <c r="H16" s="50" t="n"/>
      <c r="I16" s="50" t="n"/>
    </row>
    <row r="17" ht="48.75" customHeight="1" s="27">
      <c r="A17" s="48" t="inlineStr">
        <is>
          <t>CS-13</t>
        </is>
      </c>
      <c r="B17" s="48" t="inlineStr">
        <is>
          <t>-</t>
        </is>
      </c>
      <c r="C17" s="49" t="inlineStr">
        <is>
          <t>Flagged health reports queue</t>
        </is>
      </c>
      <c r="D17" s="49" t="inlineStr">
        <is>
          <t>After HM-17, check the support dashboard's flagged items.</t>
        </is>
      </c>
      <c r="E17" s="49" t="inlineStr">
        <is>
          <t>Health reports flagged by admin appear in the support queue with the flag reason, ready for elder notification.</t>
        </is>
      </c>
      <c r="F17" s="48" t="inlineStr">
        <is>
          <t>Not Tested</t>
        </is>
      </c>
      <c r="G17" s="49" t="n"/>
      <c r="H17" s="48" t="n"/>
      <c r="I17" s="48" t="n"/>
    </row>
    <row r="18" ht="33.75" customHeight="1" s="27">
      <c r="A18" s="50" t="inlineStr">
        <is>
          <t>CS-14</t>
        </is>
      </c>
      <c r="B18" s="50" t="inlineStr">
        <is>
          <t>-</t>
        </is>
      </c>
      <c r="C18" s="51" t="inlineStr">
        <is>
          <t>Search, filter and sort inquiries</t>
        </is>
      </c>
      <c r="D18" s="51" t="inlineStr">
        <is>
          <t>On the staff dashboard, search by keyword, filter by field values and change sort order.</t>
        </is>
      </c>
      <c r="E18" s="51" t="inlineStr">
        <is>
          <t>Inquiry list responds correctly to search, filter and sort controls.</t>
        </is>
      </c>
      <c r="F18" s="50" t="inlineStr">
        <is>
          <t>Not Tested</t>
        </is>
      </c>
      <c r="G18" s="51" t="n"/>
      <c r="H18" s="50" t="n"/>
      <c r="I18" s="50" t="n"/>
    </row>
  </sheetData>
  <autoFilter ref="A4:I18"/>
  <mergeCells count="2">
    <mergeCell ref="A1:I1"/>
    <mergeCell ref="A2:I2"/>
  </mergeCells>
  <conditionalFormatting sqref="F5:F18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8" showDropDown="0" showInputMessage="0" showErrorMessage="0" allowBlank="1" type="list" errorStyle="stop" operator="between">
      <formula1>"Pass,Fail,Partial,Blocked,Not Tested"</formula1>
      <formula2>0</formula2>
    </dataValidation>
    <dataValidation sqref="I5:I18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Administrative</t>
        </is>
      </c>
    </row>
    <row r="2" ht="15.75" customHeight="1" s="27">
      <c r="A2" s="47" t="inlineStr">
        <is>
          <t>Administrative Module (FR4.1 to FR4.7): application review decisions, report generation and oversight tools.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AD-01</t>
        </is>
      </c>
      <c r="B5" s="48" t="inlineStr">
        <is>
          <t>FR4.1</t>
        </is>
      </c>
      <c r="C5" s="49" t="inlineStr">
        <is>
          <t>Application list and detail view</t>
        </is>
      </c>
      <c r="D5" s="49" t="inlineStr">
        <is>
          <t>Log in as admin; open the dashboard; select an application to open its full detail page and view supporting documents in the PDF viewer.</t>
        </is>
      </c>
      <c r="E5" s="49" t="inlineStr">
        <is>
          <t>All submitted applications are listed with current status; the selected application shows complete details and readable documents.</t>
        </is>
      </c>
      <c r="F5" s="48" t="inlineStr">
        <is>
          <t>Pass</t>
        </is>
      </c>
      <c r="G5" s="49" t="inlineStr">
        <is>
          <t>Code-verified: dashboard lists all non-draft applications with status; review page shows full details and documents in PDF viewer.</t>
        </is>
      </c>
      <c r="H5" s="48" t="inlineStr">
        <is>
          <t>2026-07-06</t>
        </is>
      </c>
      <c r="I5" s="48" t="n"/>
    </row>
    <row r="6" ht="33.75" customHeight="1" s="27">
      <c r="A6" s="50" t="inlineStr">
        <is>
          <t>AD-02</t>
        </is>
      </c>
      <c r="B6" s="50" t="inlineStr">
        <is>
          <t>FR2.12</t>
        </is>
      </c>
      <c r="C6" s="51" t="inlineStr">
        <is>
          <t>Search, filter and sort applications</t>
        </is>
      </c>
      <c r="D6" s="51" t="inlineStr">
        <is>
          <t>Filter the list by status, date and organisation; use the search box; change sort field and order.</t>
        </is>
      </c>
      <c r="E6" s="51" t="inlineStr">
        <is>
          <t>List updates correctly for every filter, search and sort combination.</t>
        </is>
      </c>
      <c r="F6" s="50" t="inlineStr">
        <is>
          <t>Partial</t>
        </is>
      </c>
      <c r="G6" s="51" t="inlineStr">
        <is>
          <t>Status filter, text search (name/IC/email/address) and date sort work. No date-range filter and no organisation filter.</t>
        </is>
      </c>
      <c r="H6" s="50" t="inlineStr">
        <is>
          <t>2026-07-06</t>
        </is>
      </c>
      <c r="I6" s="50" t="n"/>
    </row>
    <row r="7" ht="33.75" customHeight="1" s="27">
      <c r="A7" s="48" t="inlineStr">
        <is>
          <t>AD-03</t>
        </is>
      </c>
      <c r="B7" s="48" t="inlineStr">
        <is>
          <t>FR4.2</t>
        </is>
      </c>
      <c r="C7" s="49" t="inlineStr">
        <is>
          <t>Approve application</t>
        </is>
      </c>
      <c r="D7" s="49" t="inlineStr">
        <is>
          <t>Open a reviewed application, enter the approved amount, click Approve and confirm in the modal.</t>
        </is>
      </c>
      <c r="E7" s="49" t="inlineStr">
        <is>
          <t>Status changes to approved, approved amount is stored, and the elder is notified of the decision.</t>
        </is>
      </c>
      <c r="F7" s="48" t="inlineStr">
        <is>
          <t>Pass</t>
        </is>
      </c>
      <c r="G7" s="49" t="inlineStr">
        <is>
          <t>Fixed this session: review page approved-amount input was not wired (typing crashed; approvals saved no amount). Now validated (required when under review) and stored via Admin.approveApplication.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AD-04</t>
        </is>
      </c>
      <c r="B8" s="50" t="inlineStr">
        <is>
          <t>FR4.3</t>
        </is>
      </c>
      <c r="C8" s="51" t="inlineStr">
        <is>
          <t>Return with written notes</t>
        </is>
      </c>
      <c r="D8" s="51" t="inlineStr">
        <is>
          <t>Return an application with notes specifying required corrections or documents.</t>
        </is>
      </c>
      <c r="E8" s="51" t="inlineStr">
        <is>
          <t>Notes are saved and communicated to the applicant; application awaits resubmission.</t>
        </is>
      </c>
      <c r="F8" s="50" t="inlineStr">
        <is>
          <t>Partial</t>
        </is>
      </c>
      <c r="G8" s="51" t="inlineStr">
        <is>
          <t>No dedicated return status. Notes can be sent via the status-update modal remarks and via document flagging; elder-facing banners added this session.</t>
        </is>
      </c>
      <c r="H8" s="50" t="inlineStr">
        <is>
          <t>2026-07-06</t>
        </is>
      </c>
      <c r="I8" s="50" t="n"/>
    </row>
    <row r="9" ht="48.75" customHeight="1" s="27">
      <c r="A9" s="48" t="inlineStr">
        <is>
          <t>AD-05</t>
        </is>
      </c>
      <c r="B9" s="48" t="inlineStr">
        <is>
          <t>FR4.4</t>
        </is>
      </c>
      <c r="C9" s="49" t="inlineStr">
        <is>
          <t>Reject with mandatory reason</t>
        </is>
      </c>
      <c r="D9" s="49" t="inlineStr">
        <is>
          <t>Attempt to reject without a reason, then reject with one.</t>
        </is>
      </c>
      <c r="E9" s="49" t="inlineStr">
        <is>
          <t>Rejection is blocked until a reason is entered; once rejected, the reason is stored and communicated to the applicant.</t>
        </is>
      </c>
      <c r="F9" s="48" t="inlineStr">
        <is>
          <t>Pass</t>
        </is>
      </c>
      <c r="G9" s="49" t="inlineStr">
        <is>
          <t>Code-verified: reject confirm disabled until reason entered; reason stored in remarks. Fixed this session: reason is now shown to the elder via a rejection banner.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AD-06</t>
        </is>
      </c>
      <c r="B10" s="50" t="inlineStr">
        <is>
          <t>FR4.5</t>
        </is>
      </c>
      <c r="C10" s="51" t="inlineStr">
        <is>
          <t>Generate application analysis report</t>
        </is>
      </c>
      <c r="D10" s="51" t="inlineStr">
        <is>
          <t>From an application, generate the analysis report PDF.</t>
        </is>
      </c>
      <c r="E10" s="51" t="inlineStr">
        <is>
          <t>PDF is produced containing applicant details, property summary, eligibility check results and current status.</t>
        </is>
      </c>
      <c r="F10" s="50" t="inlineStr">
        <is>
          <t>Pass</t>
        </is>
      </c>
      <c r="G10" s="51" t="inlineStr">
        <is>
          <t>Code-verified: monthly/yearly analysis report generated with totals, approved/rejected/pending breakdown and percentages.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AD-07</t>
        </is>
      </c>
      <c r="B11" s="48" t="inlineStr">
        <is>
          <t>FR4.6</t>
        </is>
      </c>
      <c r="C11" s="49" t="inlineStr">
        <is>
          <t>Download, print, archive, share report</t>
        </is>
      </c>
      <c r="D11" s="49" t="inlineStr">
        <is>
          <t>Use the download, print, archive and share actions on a generated report.</t>
        </is>
      </c>
      <c r="E11" s="49" t="inlineStr">
        <is>
          <t>Each action completes: file downloads, print dialog opens with correct layout, archive requires confirmation, share link works.</t>
        </is>
      </c>
      <c r="F11" s="48" t="inlineStr">
        <is>
          <t>Partial</t>
        </is>
      </c>
      <c r="G11" s="49" t="inlineStr">
        <is>
          <t>Download PDF and print work. Share link fixed this session (opened links redirected to dashboard; now loads the report by ID). Archive action is not implemented.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AD-08</t>
        </is>
      </c>
      <c r="B12" s="50" t="inlineStr">
        <is>
          <t>FR4.7</t>
        </is>
      </c>
      <c r="C12" s="51" t="inlineStr">
        <is>
          <t>Approve or reject nominee</t>
        </is>
      </c>
      <c r="D12" s="51" t="inlineStr">
        <is>
          <t>Approve one nominee and reject another, entering a reason each time.</t>
        </is>
      </c>
      <c r="E12" s="51" t="inlineStr">
        <is>
          <t>Decisions and reasons are recorded; nominee status updates are visible to the elder.</t>
        </is>
      </c>
      <c r="F12" s="50" t="inlineStr">
        <is>
          <t>Fail</t>
        </is>
      </c>
      <c r="G12" s="51" t="inlineStr">
        <is>
          <t>Not implemented: no admin UI or handler to approve/reject a nominee. Nominee.updateStatus exists in the model but is never called anywhere.</t>
        </is>
      </c>
      <c r="H12" s="50" t="inlineStr">
        <is>
          <t>2026-07-06</t>
        </is>
      </c>
      <c r="I12" s="50" t="n"/>
    </row>
    <row r="13" ht="63.75" customHeight="1" s="27">
      <c r="A13" s="48" t="inlineStr">
        <is>
          <t>AD-09</t>
        </is>
      </c>
      <c r="B13" s="48" t="inlineStr">
        <is>
          <t>-</t>
        </is>
      </c>
      <c r="C13" s="49" t="inlineStr">
        <is>
          <t>Termination request decision</t>
        </is>
      </c>
      <c r="D13" s="49" t="inlineStr">
        <is>
          <t>Approve one termination request and reject another.</t>
        </is>
      </c>
      <c r="E13" s="49" t="inlineStr">
        <is>
          <t>Approved request moves the application to terminated (elder is then blocked from /application); rejected request restores approved status. Elder is notified either way.</t>
        </is>
      </c>
      <c r="F13" s="48" t="inlineStr">
        <is>
          <t>Pass</t>
        </is>
      </c>
      <c r="G13" s="49" t="inlineStr">
        <is>
          <t>Code-verified: approve moves application to terminated (elder blocked from /application); reject restores approved and stores reason. Fixed this session: empty rejection reason no longer accepted. Note: elder sees banners but gets no proactive notification (see AM-13).</t>
        </is>
      </c>
      <c r="H13" s="48" t="inlineStr">
        <is>
          <t>2026-07-06</t>
        </is>
      </c>
      <c r="I13" s="48" t="n"/>
    </row>
    <row r="14" ht="33.75" customHeight="1" s="27">
      <c r="A14" s="50" t="inlineStr">
        <is>
          <t>AD-10</t>
        </is>
      </c>
      <c r="B14" s="50" t="inlineStr">
        <is>
          <t>-</t>
        </is>
      </c>
      <c r="C14" s="51" t="inlineStr">
        <is>
          <t>Flag document during review</t>
        </is>
      </c>
      <c r="D14" s="51" t="inlineStr">
        <is>
          <t>While reviewing, flag a specific document; try confirming without a reason first.</t>
        </is>
      </c>
      <c r="E14" s="51" t="inlineStr">
        <is>
          <t>Reason is mandatory; flagged document and reason are recorded and routed for elder correction.</t>
        </is>
      </c>
      <c r="F14" s="50" t="inlineStr">
        <is>
          <t>Pass</t>
        </is>
      </c>
      <c r="G14" s="51" t="inlineStr">
        <is>
          <t>Fixed this session: Application.flagDocument did not exist (model file had a corrupted comment block swallowing the method) so flagging threw a runtime error. Now removes the file (shows MISSING for re-upload), records reason as mandatory, elder sees a banner, and the flag auto-clears after re-upload.</t>
        </is>
      </c>
      <c r="H14" s="50" t="inlineStr">
        <is>
          <t>2026-07-06</t>
        </is>
      </c>
      <c r="I14" s="50" t="n"/>
    </row>
    <row r="15" ht="33.75" customHeight="1" s="27">
      <c r="A15" s="48" t="inlineStr">
        <is>
          <t>AD-11</t>
        </is>
      </c>
      <c r="B15" s="48" t="inlineStr">
        <is>
          <t>-</t>
        </is>
      </c>
      <c r="C15" s="49" t="inlineStr">
        <is>
          <t>Report generator (monthly / analysis)</t>
        </is>
      </c>
      <c r="D15" s="49" t="inlineStr">
        <is>
          <t>Open the report generator from the dashboard, choose parameters and confirm generation.</t>
        </is>
      </c>
      <c r="E15" s="49" t="inlineStr">
        <is>
          <t>Modal opens, generation completes and the report is available for download.</t>
        </is>
      </c>
      <c r="F15" s="48" t="inlineStr">
        <is>
          <t>Pass</t>
        </is>
      </c>
      <c r="G15" s="49" t="inlineStr">
        <is>
          <t>Code-verified: report generator modal with monthly/yearly types; generation completes and report is viewable/downloadable.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AD-12</t>
        </is>
      </c>
      <c r="B16" s="50" t="inlineStr">
        <is>
          <t>-</t>
        </is>
      </c>
      <c r="C16" s="51" t="inlineStr">
        <is>
          <t>Admin route protection</t>
        </is>
      </c>
      <c r="D16" s="51" t="inlineStr">
        <is>
          <t>While logged in as an elder and as support staff, manually navigate to /admin/dashboard and /admin/review/:id.</t>
        </is>
      </c>
      <c r="E16" s="51" t="inlineStr">
        <is>
          <t>Non-admin roles are redirected to their own dashboards; admin pages never render.</t>
        </is>
      </c>
      <c r="F16" s="50" t="inlineStr">
        <is>
          <t>Pass</t>
        </is>
      </c>
      <c r="G16" s="51" t="inlineStr">
        <is>
          <t>Code-verified: all /admin/* routes require role admin via ProtectedRoute; elder and support are redirected to their own dashboards.</t>
        </is>
      </c>
      <c r="H16" s="50" t="inlineStr">
        <is>
          <t>2026-07-06</t>
        </is>
      </c>
      <c r="I16" s="50" t="n"/>
    </row>
  </sheetData>
  <autoFilter ref="A4:I16"/>
  <mergeCells count="2">
    <mergeCell ref="A1:I1"/>
    <mergeCell ref="A2:I2"/>
  </mergeCells>
  <conditionalFormatting sqref="F5:F16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6" showDropDown="0" showInputMessage="0" showErrorMessage="0" allowBlank="1" type="list" errorStyle="stop" operator="between">
      <formula1>"Pass,Fail,Partial,Blocked,Not Tested"</formula1>
      <formula2>0</formula2>
    </dataValidation>
    <dataValidation sqref="I5:I16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I1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User Management</t>
        </is>
      </c>
    </row>
    <row r="2" ht="15.75" customHeight="1" s="27">
      <c r="A2" s="47" t="inlineStr">
        <is>
          <t>User Management Module (FR5.1 to FR5.9): accounts and access, payouts, disbursements, nominees and property value display.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UM-01</t>
        </is>
      </c>
      <c r="B5" s="48" t="inlineStr">
        <is>
          <t>-</t>
        </is>
      </c>
      <c r="C5" s="49" t="inlineStr">
        <is>
          <t>User registration</t>
        </is>
      </c>
      <c r="D5" s="49" t="inlineStr">
        <is>
          <t>Register a new account with email and password; check the users table entry; attempt registration with an already-used email.</t>
        </is>
      </c>
      <c r="E5" s="49" t="inlineStr">
        <is>
          <t>Account is created with a profile row; duplicate email is rejected with a clear message.</t>
        </is>
      </c>
      <c r="F5" s="48" t="inlineStr">
        <is>
          <t>Blocked</t>
        </is>
      </c>
      <c r="G5" s="49" t="inlineStr">
        <is>
          <t>No client-side code inserts the public.users profile row and no trigger exists in the repo migrations - row creation must be a DB trigger in the live Supabase project. Verify by registering live.</t>
        </is>
      </c>
      <c r="H5" s="48" t="inlineStr">
        <is>
          <t>2026-07-06</t>
        </is>
      </c>
      <c r="I5" s="48" t="n"/>
    </row>
    <row r="6" ht="48.75" customHeight="1" s="27">
      <c r="A6" s="50" t="inlineStr">
        <is>
          <t>UM-02</t>
        </is>
      </c>
      <c r="B6" s="50" t="inlineStr">
        <is>
          <t>-</t>
        </is>
      </c>
      <c r="C6" s="51" t="inlineStr">
        <is>
          <t>User login and logout</t>
        </is>
      </c>
      <c r="D6" s="51" t="inlineStr">
        <is>
          <t>Log in with wrong credentials, then correct ones; log out.</t>
        </is>
      </c>
      <c r="E6" s="51" t="inlineStr">
        <is>
          <t>Wrong credentials show an error; successful login lands on the user dashboard; logout clears the session and returns to the login page.</t>
        </is>
      </c>
      <c r="F6" s="50" t="inlineStr">
        <is>
          <t>Pass</t>
        </is>
      </c>
      <c r="G6" s="51" t="inlineStr">
        <is>
          <t>Code-verified: standard Supabase auth wrappers; wrong credentials return an error, logout clears session.</t>
        </is>
      </c>
      <c r="H6" s="50" t="inlineStr">
        <is>
          <t>2026-07-06</t>
        </is>
      </c>
      <c r="I6" s="50" t="n"/>
    </row>
    <row r="7" ht="48.75" customHeight="1" s="27">
      <c r="A7" s="48" t="inlineStr">
        <is>
          <t>UM-03</t>
        </is>
      </c>
      <c r="B7" s="48" t="inlineStr">
        <is>
          <t>-</t>
        </is>
      </c>
      <c r="C7" s="49" t="inlineStr">
        <is>
          <t>Staff login routing</t>
        </is>
      </c>
      <c r="D7" s="49" t="inlineStr">
        <is>
          <t>Log in via the staff login page as an admin account and as a support account.</t>
        </is>
      </c>
      <c r="E7" s="49" t="inlineStr">
        <is>
          <t>Admin is routed to /admin/dashboard and support to /support/dashboard, with role resolved from auth metadata or the admins / customer_supports tables.</t>
        </is>
      </c>
      <c r="F7" s="48" t="inlineStr">
        <is>
          <t>Pass</t>
        </is>
      </c>
      <c r="G7" s="49" t="inlineStr">
        <is>
          <t>Code-verified: staff role resolved from auth metadata first, then admins/customer_supports tables; admin -&gt; /admin/dashboard, support -&gt; /support/dashboard.</t>
        </is>
      </c>
      <c r="H7" s="48" t="inlineStr">
        <is>
          <t>2026-07-06</t>
        </is>
      </c>
      <c r="I7" s="48" t="n"/>
    </row>
    <row r="8" ht="63.75" customHeight="1" s="27">
      <c r="A8" s="50" t="inlineStr">
        <is>
          <t>UM-04</t>
        </is>
      </c>
      <c r="B8" s="50" t="inlineStr">
        <is>
          <t>-</t>
        </is>
      </c>
      <c r="C8" s="51" t="inlineStr">
        <is>
          <t>Status-based route protection</t>
        </is>
      </c>
      <c r="D8" s="51" t="inlineStr">
        <is>
          <t>Log in as a user with an incomplete application, then as a user whose application is terminated; try navigating to other routes.</t>
        </is>
      </c>
      <c r="E8" s="51" t="inlineStr">
        <is>
          <t>Incomplete user is redirected to /application; terminated user is blocked from /application; role and status survive a page reload (cached in localStorage).</t>
        </is>
      </c>
      <c r="F8" s="50" t="inlineStr">
        <is>
          <t>Pass</t>
        </is>
      </c>
      <c r="G8" s="51" t="inlineStr">
        <is>
          <t>Code-verified: incomplete -&gt; redirected to /application; terminated blocked from /application; role and status cached in localStorage so they survive reload.</t>
        </is>
      </c>
      <c r="H8" s="50" t="inlineStr">
        <is>
          <t>2026-07-06</t>
        </is>
      </c>
      <c r="I8" s="50" t="n"/>
    </row>
    <row r="9" ht="48.75" customHeight="1" s="27">
      <c r="A9" s="48" t="inlineStr">
        <is>
          <t>UM-05</t>
        </is>
      </c>
      <c r="B9" s="48" t="inlineStr">
        <is>
          <t>FR5.1</t>
        </is>
      </c>
      <c r="C9" s="49" t="inlineStr">
        <is>
          <t>Property value estimate on dashboard</t>
        </is>
      </c>
      <c r="D9" s="49" t="inlineStr">
        <is>
          <t>Open the user dashboard for an approved application; read the estimated property value; click the re-estimate action.</t>
        </is>
      </c>
      <c r="E9" s="49" t="inlineStr">
        <is>
          <t>An estimated value in RM is shown with an indicative-only disclaimer; re-estimation calls the edge function and refreshes the figure.</t>
        </is>
      </c>
      <c r="F9" s="48" t="inlineStr">
        <is>
          <t>Pass</t>
        </is>
      </c>
      <c r="G9" s="49" t="inlineStr">
        <is>
          <t>Code-verified + estimator API live-tested: RM estimate with disclaimer shown; re-estimate calls the estimator and refreshes the figure. Note: new estimate is not persisted to the DB, so it reverts on reload.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UM-06</t>
        </is>
      </c>
      <c r="B10" s="50" t="inlineStr">
        <is>
          <t>FR5.2</t>
        </is>
      </c>
      <c r="C10" s="51" t="inlineStr">
        <is>
          <t>Payout calculation and toggle</t>
        </is>
      </c>
      <c r="D10" s="51" t="inlineStr">
        <is>
          <t>Toggle between monthly payout and lump-sum views on the dashboard.</t>
        </is>
      </c>
      <c r="E10" s="51" t="inlineStr">
        <is>
          <t>Estimated payout recalculates from the applicant age, property type, location and verified property value; both views display consistent figures.</t>
        </is>
      </c>
      <c r="F10" s="50" t="inlineStr">
        <is>
          <t>Partial</t>
        </is>
      </c>
      <c r="G10" s="51" t="inlineStr">
        <is>
          <t>Monthly payout = approved amount / 240 months (or 70% of property value when no approved amount). Applicant age, property type and location are NOT factored as FR5.2 describes. Monthly and lump-sum views are consistent.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UM-07</t>
        </is>
      </c>
      <c r="B11" s="48" t="inlineStr">
        <is>
          <t>FR5.3</t>
        </is>
      </c>
      <c r="C11" s="49" t="inlineStr">
        <is>
          <t>Nominee apportioned proceeds</t>
        </is>
      </c>
      <c r="D11" s="49" t="inlineStr">
        <is>
          <t>View the apportioned proceeds figure for a nominee using test data at different elapsed times since commencement.</t>
        </is>
      </c>
      <c r="E11" s="49" t="inlineStr">
        <is>
          <t>Proceeds payable to the nominee are calculated from time elapsed since the scheme commenced and update with the elapsed period.</t>
        </is>
      </c>
      <c r="F11" s="48" t="inlineStr">
        <is>
          <t>Fail</t>
        </is>
      </c>
      <c r="G11" s="49" t="inlineStr">
        <is>
          <t>Not implemented: no apportioned-proceeds calculation for nominees exists anywhere in the codebase.</t>
        </is>
      </c>
      <c r="H11" s="48" t="inlineStr">
        <is>
          <t>2026-07-06</t>
        </is>
      </c>
      <c r="I11" s="48" t="n"/>
    </row>
    <row r="12" ht="33.75" customHeight="1" s="27">
      <c r="A12" s="50" t="inlineStr">
        <is>
          <t>UM-08</t>
        </is>
      </c>
      <c r="B12" s="50" t="inlineStr">
        <is>
          <t>FR5.4</t>
        </is>
      </c>
      <c r="C12" s="51" t="inlineStr">
        <is>
          <t>Disbursement history</t>
        </is>
      </c>
      <c r="D12" s="51" t="inlineStr">
        <is>
          <t>Open the disbursement history; apply the disbursement filter.</t>
        </is>
      </c>
      <c r="E12" s="51" t="inlineStr">
        <is>
          <t>All payouts list amount, date and payment method; filtering narrows the records correctly.</t>
        </is>
      </c>
      <c r="F12" s="50" t="inlineStr">
        <is>
          <t>Pass</t>
        </is>
      </c>
      <c r="G12" s="51" t="inlineStr">
        <is>
          <t>Code-verified: history lists amount, date, reference and description; filter works but 'last 6 months' actually means the last 6 records.</t>
        </is>
      </c>
      <c r="H12" s="50" t="inlineStr">
        <is>
          <t>2026-07-06</t>
        </is>
      </c>
      <c r="I12" s="50" t="n"/>
    </row>
    <row r="13" ht="48.75" customHeight="1" s="27">
      <c r="A13" s="48" t="inlineStr">
        <is>
          <t>UM-09</t>
        </is>
      </c>
      <c r="B13" s="48" t="inlineStr">
        <is>
          <t>FR5.5</t>
        </is>
      </c>
      <c r="C13" s="49" t="inlineStr">
        <is>
          <t>Totals and remaining balance</t>
        </is>
      </c>
      <c r="D13" s="49" t="inlineStr">
        <is>
          <t>Compare the displayed total disbursed and remaining estimated balance against the individual disbursement records.</t>
        </is>
      </c>
      <c r="E13" s="49" t="inlineStr">
        <is>
          <t>Total disbursed equals the sum of records; remaining balance and disbursement percentage are consistent with the approved amount.</t>
        </is>
      </c>
      <c r="F13" s="48" t="inlineStr">
        <is>
          <t>Pass</t>
        </is>
      </c>
      <c r="G13" s="49" t="inlineStr">
        <is>
          <t>Code-verified: total disbursed = sum of payout transactions; remaining balance and percentage derived from approved amount consistently.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UM-10</t>
        </is>
      </c>
      <c r="B14" s="50" t="inlineStr">
        <is>
          <t>FR5.6</t>
        </is>
      </c>
      <c r="C14" s="51" t="inlineStr">
        <is>
          <t>Nominate a nominee</t>
        </is>
      </c>
      <c r="D14" s="51" t="inlineStr">
        <is>
          <t>During the application, add a nominee with name, IC, relationship and contact details; test invalid IC and phone values.</t>
        </is>
      </c>
      <c r="E14" s="51" t="inlineStr">
        <is>
          <t>Valid nominee is saved; invalid fields are rejected with clear messages; nominee data auto-populates where supported.</t>
        </is>
      </c>
      <c r="F14" s="50" t="inlineStr">
        <is>
          <t>Pass</t>
        </is>
      </c>
      <c r="G14" s="51" t="inlineStr">
        <is>
          <t>Code-verified: nominee fields validated (IC, phone) with custom React validation; data auto-populates acknowledgement fields.</t>
        </is>
      </c>
      <c r="H14" s="50" t="inlineStr">
        <is>
          <t>2026-07-06</t>
        </is>
      </c>
      <c r="I14" s="50" t="n"/>
    </row>
    <row r="15" ht="33.75" customHeight="1" s="27">
      <c r="A15" s="48" t="inlineStr">
        <is>
          <t>UM-11</t>
        </is>
      </c>
      <c r="B15" s="48" t="inlineStr">
        <is>
          <t>FR5.7</t>
        </is>
      </c>
      <c r="C15" s="49" t="inlineStr">
        <is>
          <t>Update nominee before approval</t>
        </is>
      </c>
      <c r="D15" s="49" t="inlineStr">
        <is>
          <t>Edit nominee details via the edit-nominees route while the application is not yet approved; retry after approval.</t>
        </is>
      </c>
      <c r="E15" s="49" t="inlineStr">
        <is>
          <t>Pre-approval edits save; post-approval edits are blocked.</t>
        </is>
      </c>
      <c r="F15" s="48" t="inlineStr">
        <is>
          <t>Pass</t>
        </is>
      </c>
      <c r="G15" s="49" t="inlineStr">
        <is>
          <t>Fixed this session (same fix as AM-08): pre-approval edits save; post-approval edits blocked on load and save.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UM-12</t>
        </is>
      </c>
      <c r="B16" s="50" t="inlineStr">
        <is>
          <t>-</t>
        </is>
      </c>
      <c r="C16" s="51" t="inlineStr">
        <is>
          <t>Save bank details</t>
        </is>
      </c>
      <c r="D16" s="51" t="inlineStr">
        <is>
          <t>Enter bank details with an invalid account number, then valid ones, and save.</t>
        </is>
      </c>
      <c r="E16" s="51" t="inlineStr">
        <is>
          <t>Invalid account number is rejected; valid details persist and are used for disbursement records.</t>
        </is>
      </c>
      <c r="F16" s="50" t="inlineStr">
        <is>
          <t>Pass</t>
        </is>
      </c>
      <c r="G16" s="51" t="inlineStr">
        <is>
          <t>Code-verified: bank-specific account-number validation. Fixed this session: payout details read the OLDEST bank row so re-saved details never took effect; latest row now wins.</t>
        </is>
      </c>
      <c r="H16" s="50" t="inlineStr">
        <is>
          <t>2026-07-06</t>
        </is>
      </c>
      <c r="I16" s="50" t="n"/>
    </row>
    <row r="17" ht="48.75" customHeight="1" s="27">
      <c r="A17" s="48" t="inlineStr">
        <is>
          <t>UM-13</t>
        </is>
      </c>
      <c r="B17" s="48" t="inlineStr">
        <is>
          <t>FR5.8</t>
        </is>
      </c>
      <c r="C17" s="49" t="inlineStr">
        <is>
          <t>Admin records disbursement</t>
        </is>
      </c>
      <c r="D17" s="49" t="inlineStr">
        <is>
          <t>As admin, open /admin/disbursements, select an approved application and create a disbursement with date, amount and method; then edit it.</t>
        </is>
      </c>
      <c r="E17" s="49" t="inlineStr">
        <is>
          <t>Only approved applications are selectable; the record saves and updates, and appears in the elder's disbursement history.</t>
        </is>
      </c>
      <c r="F17" s="48" t="inlineStr">
        <is>
          <t>Partial</t>
        </is>
      </c>
      <c r="G17" s="49" t="inlineStr">
        <is>
          <t>Create works: only approved applications selectable, catch-up amount suggested, record appears in elder history. Editing an existing disbursement record is not implemented. Fixed this session: latest-disbursement date always showed empty (field-name mismatch).</t>
        </is>
      </c>
      <c r="H17" s="48" t="inlineStr">
        <is>
          <t>2026-07-06</t>
        </is>
      </c>
      <c r="I17" s="48" t="n"/>
    </row>
    <row r="18" ht="33.75" customHeight="1" s="27">
      <c r="A18" s="50" t="inlineStr">
        <is>
          <t>UM-14</t>
        </is>
      </c>
      <c r="B18" s="50" t="inlineStr">
        <is>
          <t>FR5.9</t>
        </is>
      </c>
      <c r="C18" s="51" t="inlineStr">
        <is>
          <t>Verified value update triggers recalculation</t>
        </is>
      </c>
      <c r="D18" s="51" t="inlineStr">
        <is>
          <t>As admin, update the verified property value after a formal appraisal; view the elder dashboard afterwards.</t>
        </is>
      </c>
      <c r="E18" s="51" t="inlineStr">
        <is>
          <t>New verified value is stored and the elder's displayed payout amounts recalculate from it.</t>
        </is>
      </c>
      <c r="F18" s="50" t="inlineStr">
        <is>
          <t>Fail</t>
        </is>
      </c>
      <c r="G18" s="51" t="inlineStr">
        <is>
          <t>Not implemented: no admin UI to update the verified property value. expected_market_value is only written at submission time.</t>
        </is>
      </c>
      <c r="H18" s="50" t="inlineStr">
        <is>
          <t>2026-07-06</t>
        </is>
      </c>
      <c r="I18" s="50" t="n"/>
    </row>
    <row r="19" ht="48.75" customHeight="1" s="27">
      <c r="A19" s="48" t="inlineStr">
        <is>
          <t>UM-15</t>
        </is>
      </c>
      <c r="B19" s="48" t="inlineStr">
        <is>
          <t>-</t>
        </is>
      </c>
      <c r="C19" s="49" t="inlineStr">
        <is>
          <t>Public property calculator page</t>
        </is>
      </c>
      <c r="D19" s="49" t="inlineStr">
        <is>
          <t>Open /property-calculator without logging in; submit empty, then with invalid numbers, then valid inputs; use Reset.</t>
        </is>
      </c>
      <c r="E19" s="49" t="inlineStr">
        <is>
          <t>Page is publicly accessible; required-field and numeric validation fire; a valid submission returns an estimate; Reset clears the form.</t>
        </is>
      </c>
      <c r="F19" s="48" t="inlineStr">
        <is>
          <t>Pass</t>
        </is>
      </c>
      <c r="G19" s="49" t="inlineStr">
        <is>
          <t>Code-verified + API live-tested: public route, custom required/numeric validation, estimate with bounds and disclaimer rendered, Reset clears the form. Fixed this session: FastAPI 422 details now render as readable messages.</t>
        </is>
      </c>
      <c r="H19" s="48" t="inlineStr">
        <is>
          <t>2026-07-06</t>
        </is>
      </c>
      <c r="I19" s="48" t="n"/>
    </row>
  </sheetData>
  <autoFilter ref="A4:I19"/>
  <mergeCells count="2">
    <mergeCell ref="A1:I1"/>
    <mergeCell ref="A2:I2"/>
  </mergeCells>
  <conditionalFormatting sqref="F5:F19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9" showDropDown="0" showInputMessage="0" showErrorMessage="0" allowBlank="1" type="list" errorStyle="stop" operator="between">
      <formula1>"Pass,Fail,Partial,Blocked,Not Tested"</formula1>
      <formula2>0</formula2>
    </dataValidation>
    <dataValidation sqref="I5:I19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ML Estimator API</t>
        </is>
      </c>
    </row>
    <row r="2" ht="15.75" customHeight="1" s="27">
      <c r="A2" s="47" t="inlineStr">
        <is>
          <t>Property Value Estimator (FastAPI POST /estimate): XGBoost pipeline with KNN geospatial blending, trained on NAPIC data.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ML-01</t>
        </is>
      </c>
      <c r="B5" s="48" t="inlineStr">
        <is>
          <t>-</t>
        </is>
      </c>
      <c r="C5" s="49" t="inlineStr">
        <is>
          <t>API health endpoint</t>
        </is>
      </c>
      <c r="D5" s="49" t="inlineStr">
        <is>
          <t>Start the FastAPI service (uvicorn api:app) with the trained model present; call GET /health.</t>
        </is>
      </c>
      <c r="E5" s="49" t="inlineStr">
        <is>
          <t>Response is status ok with the resolved model path; with the model file removed, status reports model_not_loaded.</t>
        </is>
      </c>
      <c r="F5" s="48" t="inlineStr">
        <is>
          <t>Pass</t>
        </is>
      </c>
      <c r="G5" s="49" t="inlineStr">
        <is>
          <t>Live-tested: /health returns status ok with resolved model path; model_not_loaded when file removed.</t>
        </is>
      </c>
      <c r="H5" s="48" t="inlineStr">
        <is>
          <t>2026-07-06</t>
        </is>
      </c>
      <c r="I5" s="48" t="n"/>
    </row>
    <row r="6" ht="63.75" customHeight="1" s="27">
      <c r="A6" s="50" t="inlineStr">
        <is>
          <t>ML-02</t>
        </is>
      </c>
      <c r="B6" s="50" t="inlineStr">
        <is>
          <t>-</t>
        </is>
      </c>
      <c r="C6" s="51" t="inlineStr">
        <is>
          <t>Valid estimation request</t>
        </is>
      </c>
      <c r="D6" s="51" t="inlineStr">
        <is>
          <t>POST /estimate with a complete valid body (property_type, scheme_name, district, mukim, floor_area_sqm, land_area_sqm, tenure, unit_level, txn_year, txn_month).</t>
        </is>
      </c>
      <c r="E6" s="51" t="inlineStr">
        <is>
          <t>200 response containing estimated_price_rm, lower_bound_rm, upper_bound_rm, confidence_band_pct, model_version, currency MYR and the NAPIC disclaimer text.</t>
        </is>
      </c>
      <c r="F6" s="50" t="inlineStr">
        <is>
          <t>Pass</t>
        </is>
      </c>
      <c r="G6" s="51" t="inlineStr">
        <is>
          <t>Live-tested: full schema response incl. estimated_price_rm, bounds, confidence_band_pct, model_version, currency MYR, NAPIC disclaimer.</t>
        </is>
      </c>
      <c r="H6" s="50" t="inlineStr">
        <is>
          <t>2026-07-06</t>
        </is>
      </c>
      <c r="I6" s="50" t="n"/>
    </row>
    <row r="7" ht="33.75" customHeight="1" s="27">
      <c r="A7" s="48" t="inlineStr">
        <is>
          <t>ML-03</t>
        </is>
      </c>
      <c r="B7" s="48" t="inlineStr">
        <is>
          <t>-</t>
        </is>
      </c>
      <c r="C7" s="49" t="inlineStr">
        <is>
          <t>Request schema validation</t>
        </is>
      </c>
      <c r="D7" s="49" t="inlineStr">
        <is>
          <t>POST /estimate with floor_area_sqm of 0 or negative, txn_month of 13, and a missing required field.</t>
        </is>
      </c>
      <c r="E7" s="49" t="inlineStr">
        <is>
          <t>Each invalid request returns HTTP 422 with a field-level validation error; no estimate is produced.</t>
        </is>
      </c>
      <c r="F7" s="48" t="inlineStr">
        <is>
          <t>Pass</t>
        </is>
      </c>
      <c r="G7" s="49" t="inlineStr">
        <is>
          <t>Live-tested: invalid floor area, txn_month 13 and missing fields each return HTTP 422 with field-level errors.</t>
        </is>
      </c>
      <c r="H7" s="48" t="inlineStr">
        <is>
          <t>2026-07-06</t>
        </is>
      </c>
      <c r="I7" s="48" t="n"/>
    </row>
    <row r="8" ht="33.75" customHeight="1" s="27">
      <c r="A8" s="50" t="inlineStr">
        <is>
          <t>ML-04</t>
        </is>
      </c>
      <c r="B8" s="50" t="inlineStr">
        <is>
          <t>-</t>
        </is>
      </c>
      <c r="C8" s="51" t="inlineStr">
        <is>
          <t>Model-not-trained handling</t>
        </is>
      </c>
      <c r="D8" s="51" t="inlineStr">
        <is>
          <t>Rename or remove the model file and POST /estimate.</t>
        </is>
      </c>
      <c r="E8" s="51" t="inlineStr">
        <is>
          <t>API returns HTTP 503 with a clear message that the model is not yet trained; service does not crash.</t>
        </is>
      </c>
      <c r="F8" s="50" t="inlineStr">
        <is>
          <t>Pass</t>
        </is>
      </c>
      <c r="G8" s="51" t="inlineStr">
        <is>
          <t>Live-tested: model file removed -&gt; HTTP 503 with clear message; service keeps running; restored afterwards.</t>
        </is>
      </c>
      <c r="H8" s="50" t="inlineStr">
        <is>
          <t>2026-07-06</t>
        </is>
      </c>
      <c r="I8" s="50" t="n"/>
    </row>
    <row r="9" ht="63.75" customHeight="1" s="27">
      <c r="A9" s="48" t="inlineStr">
        <is>
          <t>ML-05</t>
        </is>
      </c>
      <c r="B9" s="48" t="inlineStr">
        <is>
          <t>-</t>
        </is>
      </c>
      <c r="C9" s="49" t="inlineStr">
        <is>
          <t>Estimate plausibility check</t>
        </is>
      </c>
      <c r="D9" s="49" t="inlineStr">
        <is>
          <t>Estimate 3 to 5 properties with known recent NAPIC transaction prices in the same scheme and district.</t>
        </is>
      </c>
      <c r="E9" s="49" t="inlineStr">
        <is>
          <t>Each known price falls within or near the returned confidence band; no negative or implausible values (confirms correct inverse of the log-transformed target).</t>
        </is>
      </c>
      <c r="F9" s="48" t="inlineStr">
        <is>
          <t>Pass</t>
        </is>
      </c>
      <c r="G9" s="49" t="inlineStr">
        <is>
          <t>Live-tested against known NAPIC prices: deviations 1.2-14.7%, all within/near the confidence band; no negative or implausible values.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ML-06</t>
        </is>
      </c>
      <c r="B10" s="50" t="inlineStr">
        <is>
          <t>-</t>
        </is>
      </c>
      <c r="C10" s="51" t="inlineStr">
        <is>
          <t>KNN geospatial blending path</t>
        </is>
      </c>
      <c r="D10" s="51" t="inlineStr">
        <is>
          <t>Run an estimate for a property with lat/lon and at least 3 comparables within 10 km, then one without coordinates or comparables.</t>
        </is>
      </c>
      <c r="E10" s="51" t="inlineStr">
        <is>
          <t>First case returns the blended output (60 percent XGBoost, 40 percent KNN); second case falls back to the pure XGBoost prediction without error.</t>
        </is>
      </c>
      <c r="F10" s="50" t="inlineStr">
        <is>
          <t>Pass</t>
        </is>
      </c>
      <c r="G10" s="51" t="inlineStr">
        <is>
          <t>Live-tested: blended path with comparables and pure-XGBoost fallback without coordinates both return without error.</t>
        </is>
      </c>
      <c r="H10" s="50" t="inlineStr">
        <is>
          <t>2026-07-06</t>
        </is>
      </c>
      <c r="I10" s="50" t="n"/>
    </row>
    <row r="11" ht="48.75" customHeight="1" s="27">
      <c r="A11" s="48" t="inlineStr">
        <is>
          <t>ML-07</t>
        </is>
      </c>
      <c r="B11" s="48" t="inlineStr">
        <is>
          <t>-</t>
        </is>
      </c>
      <c r="C11" s="49" t="inlineStr">
        <is>
          <t>Unseen category handling</t>
        </is>
      </c>
      <c r="D11" s="49" t="inlineStr">
        <is>
          <t>POST /estimate with a scheme_name and mukim that do not exist in the training data.</t>
        </is>
      </c>
      <c r="E11" s="49" t="inlineStr">
        <is>
          <t>Target encoding falls back gracefully (global or district-level statistics); a reasonable estimate is still returned without a crash.</t>
        </is>
      </c>
      <c r="F11" s="48" t="inlineStr">
        <is>
          <t>Pass</t>
        </is>
      </c>
      <c r="G11" s="49" t="inlineStr">
        <is>
          <t>Live-tested: unseen scheme_name/mukim fall back to district/global statistics; reasonable estimate returned.</t>
        </is>
      </c>
      <c r="H11" s="48" t="inlineStr">
        <is>
          <t>2026-07-06</t>
        </is>
      </c>
      <c r="I11" s="48" t="n"/>
    </row>
    <row r="12" ht="63.75" customHeight="1" s="27">
      <c r="A12" s="50" t="inlineStr">
        <is>
          <t>ML-08</t>
        </is>
      </c>
      <c r="B12" s="50" t="inlineStr">
        <is>
          <t>-</t>
        </is>
      </c>
      <c r="C12" s="51" t="inlineStr">
        <is>
          <t>Leakage and feature checks</t>
        </is>
      </c>
      <c r="D12" s="51" t="inlineStr">
        <is>
          <t>Inspect the inference feature set used by the pipeline for a sample request.</t>
        </is>
      </c>
      <c r="E12" s="51" t="inlineStr">
        <is>
          <t>price_per_sqm is excluded at inference; engineered features (area_ratio, is_freehold, is_high_rise, cyclical month encoding, district-period rolling median) are computed as designed.</t>
        </is>
      </c>
      <c r="F12" s="50" t="inlineStr">
        <is>
          <t>Pass</t>
        </is>
      </c>
      <c r="G12" s="51" t="inlineStr">
        <is>
          <t>Code-inspected: price_per_sqm appears nowhere in the inference pipeline (no leakage); area_ratio, is_freehold, is_high_rise, month_sin/cos and district-period rolling median computed as designed.</t>
        </is>
      </c>
      <c r="H12" s="50" t="inlineStr">
        <is>
          <t>2026-07-06</t>
        </is>
      </c>
      <c r="I12" s="50" t="n"/>
    </row>
    <row r="13" ht="78.75" customHeight="1" s="27">
      <c r="A13" s="48" t="inlineStr">
        <is>
          <t>ML-09</t>
        </is>
      </c>
      <c r="B13" s="48" t="inlineStr">
        <is>
          <t>-</t>
        </is>
      </c>
      <c r="C13" s="49" t="inlineStr">
        <is>
          <t>Training reproducibility and versioning</t>
        </is>
      </c>
      <c r="D13" s="49" t="inlineStr">
        <is>
          <t>Re-run the training pipeline on the NAPIC dataset.</t>
        </is>
      </c>
      <c r="E13" s="49" t="inlineStr">
        <is>
          <t>Time-based train/test split is applied; MAPE and R2 for XGBoost and the Random Forest comparison are logged; a versioned model file (xgb_erumah_&lt;version&gt;.pkl) is exported and picked up by the API model_version string.</t>
        </is>
      </c>
      <c r="F13" s="48" t="inlineStr">
        <is>
          <t>Pass</t>
        </is>
      </c>
      <c r="G13" s="49" t="inlineStr">
        <is>
          <t>Code-verified: time-based split (train &lt;2024, test &gt;=2024), MAPE/R2 logged for XGBoost + Random Forest comparison, versioned xgb_erumah_&lt;version&gt;.pkl exported; API reports the bundle version (XGBoost_20260601_1347). Full retrain not re-executed (Optuna 60 trials).</t>
        </is>
      </c>
      <c r="H13" s="48" t="inlineStr">
        <is>
          <t>2026-07-06</t>
        </is>
      </c>
      <c r="I13" s="48" t="n"/>
    </row>
    <row r="14" ht="63.75" customHeight="1" s="27">
      <c r="A14" s="50" t="inlineStr">
        <is>
          <t>ML-10</t>
        </is>
      </c>
      <c r="B14" s="50" t="inlineStr">
        <is>
          <t>-</t>
        </is>
      </c>
      <c r="C14" s="51" t="inlineStr">
        <is>
          <t>Frontend integration and error handling</t>
        </is>
      </c>
      <c r="D14" s="51" t="inlineStr">
        <is>
          <t>Use the property calculator UI with the API running, then with the API stopped.</t>
        </is>
      </c>
      <c r="E14" s="51" t="inlineStr">
        <is>
          <t>With the API up, the RM estimate, bounds and disclaimer render in the UI (CORS permits the request); with the API down, a friendly error message is shown instead of a blank or broken page.</t>
        </is>
      </c>
      <c r="F14" s="50" t="inlineStr">
        <is>
          <t>Pass</t>
        </is>
      </c>
      <c r="G14" s="51" t="inlineStr">
        <is>
          <t>Live API + code-verified UI: estimate, bounds and disclaimer render; CORS allows the app origin; API-down and missing-config cases show a friendly error instead of a broken page.</t>
        </is>
      </c>
      <c r="H14" s="50" t="inlineStr">
        <is>
          <t>2026-07-06</t>
        </is>
      </c>
      <c r="I14" s="50" t="n"/>
    </row>
  </sheetData>
  <autoFilter ref="A4:I14"/>
  <mergeCells count="2">
    <mergeCell ref="A1:I1"/>
    <mergeCell ref="A2:I2"/>
  </mergeCells>
  <conditionalFormatting sqref="F5:F14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4" showDropDown="0" showInputMessage="0" showErrorMessage="0" allowBlank="1" type="list" errorStyle="stop" operator="between">
      <formula1>"Pass,Fail,Partial,Blocked,Not Tested"</formula1>
      <formula2>0</formula2>
    </dataValidation>
    <dataValidation sqref="I5:I14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26" min="1" max="1"/>
    <col width="10" customWidth="1" style="26" min="2" max="2"/>
    <col width="30" customWidth="1" style="26" min="3" max="3"/>
    <col width="56" customWidth="1" style="26" min="4" max="4"/>
    <col width="48" customWidth="1" style="26" min="5" max="5"/>
    <col width="12" customWidth="1" style="26" min="6" max="6"/>
    <col width="32" customWidth="1" style="26" min="7" max="7"/>
    <col width="12" customWidth="1" style="26" min="8" max="8"/>
    <col width="13" customWidth="1" style="26" min="9" max="9"/>
  </cols>
  <sheetData>
    <row r="1" ht="21.75" customHeight="1" s="27">
      <c r="A1" s="46" t="inlineStr">
        <is>
          <t>NFR &amp; Security</t>
        </is>
      </c>
    </row>
    <row r="2" ht="15.75" customHeight="1" s="27">
      <c r="A2" s="47" t="inlineStr">
        <is>
          <t>Non-functional requirements (NFR1 Performance, NFR2 Usability, NFR3 Security) and cross-cutting verification.</t>
        </is>
      </c>
    </row>
    <row r="4" ht="25.5" customHeight="1" s="27">
      <c r="A4" s="38" t="inlineStr">
        <is>
          <t>Test ID</t>
        </is>
      </c>
      <c r="B4" s="38" t="inlineStr">
        <is>
          <t>Req. Ref</t>
        </is>
      </c>
      <c r="C4" s="38" t="inlineStr">
        <is>
          <t>Test Item / Feature</t>
        </is>
      </c>
      <c r="D4" s="38" t="inlineStr">
        <is>
          <t>Verification Steps</t>
        </is>
      </c>
      <c r="E4" s="38" t="inlineStr">
        <is>
          <t>Expected Result</t>
        </is>
      </c>
      <c r="F4" s="38" t="inlineStr">
        <is>
          <t>Status</t>
        </is>
      </c>
      <c r="G4" s="38" t="inlineStr">
        <is>
          <t>Actual Result / Remarks</t>
        </is>
      </c>
      <c r="H4" s="38" t="inlineStr">
        <is>
          <t>Date Tested</t>
        </is>
      </c>
      <c r="I4" s="38" t="inlineStr">
        <is>
          <t>Supervisor Verified</t>
        </is>
      </c>
    </row>
    <row r="5" ht="48.75" customHeight="1" s="27">
      <c r="A5" s="48" t="inlineStr">
        <is>
          <t>NF-01</t>
        </is>
      </c>
      <c r="B5" s="48" t="inlineStr">
        <is>
          <t>NFR1.1</t>
        </is>
      </c>
      <c r="C5" s="49" t="inlineStr">
        <is>
          <t>Page load performance</t>
        </is>
      </c>
      <c r="D5" s="49" t="inlineStr">
        <is>
          <t>Measure load time of the dashboard and health report list with browser dev tools under normal conditions (3 runs each).</t>
        </is>
      </c>
      <c r="E5" s="49" t="inlineStr">
        <is>
          <t>Every measured page fully loads within 3 seconds.</t>
        </is>
      </c>
      <c r="F5" s="48" t="inlineStr">
        <is>
          <t>Not Tested</t>
        </is>
      </c>
      <c r="G5" s="49" t="n"/>
      <c r="H5" s="48" t="n"/>
      <c r="I5" s="48" t="n"/>
    </row>
    <row r="6" ht="33.75" customHeight="1" s="27">
      <c r="A6" s="50" t="inlineStr">
        <is>
          <t>NF-02</t>
        </is>
      </c>
      <c r="B6" s="50" t="inlineStr">
        <is>
          <t>NFR1.2</t>
        </is>
      </c>
      <c r="C6" s="51" t="inlineStr">
        <is>
          <t>Upload performance</t>
        </is>
      </c>
      <c r="D6" s="51" t="inlineStr">
        <is>
          <t>Upload a health report file close to 10 MB on a standard broadband connection and time it.</t>
        </is>
      </c>
      <c r="E6" s="51" t="inlineStr">
        <is>
          <t>Upload completes within 5 seconds.</t>
        </is>
      </c>
      <c r="F6" s="50" t="inlineStr">
        <is>
          <t>Not Tested</t>
        </is>
      </c>
      <c r="G6" s="51" t="n"/>
      <c r="H6" s="50" t="n"/>
      <c r="I6" s="50" t="n"/>
    </row>
    <row r="7" ht="33.75" customHeight="1" s="27">
      <c r="A7" s="48" t="inlineStr">
        <is>
          <t>NF-03</t>
        </is>
      </c>
      <c r="B7" s="48" t="inlineStr">
        <is>
          <t>NFR1.3</t>
        </is>
      </c>
      <c r="C7" s="49" t="inlineStr">
        <is>
          <t>Search, filter and sort responsiveness</t>
        </is>
      </c>
      <c r="D7" s="49" t="inlineStr">
        <is>
          <t>Time representative search, filter and sort operations on the health report and application lists.</t>
        </is>
      </c>
      <c r="E7" s="49" t="inlineStr">
        <is>
          <t>Results return within 2 seconds of the request.</t>
        </is>
      </c>
      <c r="F7" s="48" t="inlineStr">
        <is>
          <t>Not Tested</t>
        </is>
      </c>
      <c r="G7" s="49" t="n"/>
      <c r="H7" s="48" t="n"/>
      <c r="I7" s="48" t="n"/>
    </row>
    <row r="8" ht="33.75" customHeight="1" s="27">
      <c r="A8" s="50" t="inlineStr">
        <is>
          <t>NF-04</t>
        </is>
      </c>
      <c r="B8" s="50" t="inlineStr">
        <is>
          <t>NFR1.4</t>
        </is>
      </c>
      <c r="C8" s="51" t="inlineStr">
        <is>
          <t>Report generation time</t>
        </is>
      </c>
      <c r="D8" s="51" t="inlineStr">
        <is>
          <t>Time the generation of an application analysis PDF.</t>
        </is>
      </c>
      <c r="E8" s="51" t="inlineStr">
        <is>
          <t>PDF is generated and available for download within 10 seconds.</t>
        </is>
      </c>
      <c r="F8" s="50" t="inlineStr">
        <is>
          <t>Not Tested</t>
        </is>
      </c>
      <c r="G8" s="51" t="n"/>
      <c r="H8" s="50" t="n"/>
      <c r="I8" s="50" t="n"/>
    </row>
    <row r="9" ht="33.75" customHeight="1" s="27">
      <c r="A9" s="48" t="inlineStr">
        <is>
          <t>NF-05</t>
        </is>
      </c>
      <c r="B9" s="48" t="inlineStr">
        <is>
          <t>NFR2.1</t>
        </is>
      </c>
      <c r="C9" s="49" t="inlineStr">
        <is>
          <t>Typography standards</t>
        </is>
      </c>
      <c r="D9" s="49" t="inlineStr">
        <is>
          <t>Inspect rendered pages with dev tools across the five modules.</t>
        </is>
      </c>
      <c r="E9" s="49" t="inlineStr">
        <is>
          <t>Body text is at least 14pt, headings at least 18pt, and the primary typeface is Inter.</t>
        </is>
      </c>
      <c r="F9" s="48" t="inlineStr">
        <is>
          <t>Partial</t>
        </is>
      </c>
      <c r="G9" s="49" t="inlineStr">
        <is>
          <t>Primary typeface is Poppins, not Inter as required. Font sizes need a visual dev-tools check.</t>
        </is>
      </c>
      <c r="H9" s="48" t="inlineStr">
        <is>
          <t>2026-07-06</t>
        </is>
      </c>
      <c r="I9" s="48" t="n"/>
    </row>
    <row r="10" ht="48.75" customHeight="1" s="27">
      <c r="A10" s="50" t="inlineStr">
        <is>
          <t>NF-06</t>
        </is>
      </c>
      <c r="B10" s="50" t="inlineStr">
        <is>
          <t>NFR2.2</t>
        </is>
      </c>
      <c r="C10" s="51" t="inlineStr">
        <is>
          <t>Colour and contrast compliance</t>
        </is>
      </c>
      <c r="D10" s="51" t="inlineStr">
        <is>
          <t>Run a WCAG contrast checker on key screens; verify palette usage.</t>
        </is>
      </c>
      <c r="E10" s="51" t="inlineStr">
        <is>
          <t>Colour combinations meet WCAG 2.1 AA contrast; the palette of #A8202D, #1F3864 and #FFFFFF is applied consistently.</t>
        </is>
      </c>
      <c r="F10" s="50" t="inlineStr">
        <is>
          <t>Not Tested</t>
        </is>
      </c>
      <c r="G10" s="51" t="n"/>
      <c r="H10" s="50" t="n"/>
      <c r="I10" s="50" t="n"/>
    </row>
    <row r="11" ht="33.75" customHeight="1" s="27">
      <c r="A11" s="48" t="inlineStr">
        <is>
          <t>NF-07</t>
        </is>
      </c>
      <c r="B11" s="48" t="inlineStr">
        <is>
          <t>NFR2.3</t>
        </is>
      </c>
      <c r="C11" s="49" t="inlineStr">
        <is>
          <t>Plain-language validation messages</t>
        </is>
      </c>
      <c r="D11" s="49" t="inlineStr">
        <is>
          <t>Review validation messages triggered across the application, enquiry and health report forms.</t>
        </is>
      </c>
      <c r="E11" s="49" t="inlineStr">
        <is>
          <t>Every message is plain language, names the field in error and states the corrective action.</t>
        </is>
      </c>
      <c r="F11" s="48" t="inlineStr">
        <is>
          <t>Pass</t>
        </is>
      </c>
      <c r="G11" s="49" t="inlineStr">
        <is>
          <t>Code-reviewed across application, enquiry, health report and bank forms: messages are plain language, name the field and state the corrective action (custom React validation, no browser popups).</t>
        </is>
      </c>
      <c r="H11" s="48" t="inlineStr">
        <is>
          <t>2026-07-06</t>
        </is>
      </c>
      <c r="I11" s="48" t="n"/>
    </row>
    <row r="12" ht="48.75" customHeight="1" s="27">
      <c r="A12" s="50" t="inlineStr">
        <is>
          <t>NF-08</t>
        </is>
      </c>
      <c r="B12" s="50" t="inlineStr">
        <is>
          <t>NFR3.1</t>
        </is>
      </c>
      <c r="C12" s="51" t="inlineStr">
        <is>
          <t>Authentication and session expiry</t>
        </is>
      </c>
      <c r="D12" s="51" t="inlineStr">
        <is>
          <t>Access module URLs while logged out; then log in and stay idle for 30 minutes before acting again.</t>
        </is>
      </c>
      <c r="E12" s="51" t="inlineStr">
        <is>
          <t>Unauthenticated access is redirected to login for every module; after 30 minutes of inactivity the session expires and re-login is required.</t>
        </is>
      </c>
      <c r="F12" s="50" t="inlineStr">
        <is>
          <t>Partial</t>
        </is>
      </c>
      <c r="G12" s="51" t="inlineStr">
        <is>
          <t>Unauthenticated access redirects to login for every module (ProtectedRoute). No 30-minute idle expiry exists - Supabase auto-refreshes sessions indefinitely.</t>
        </is>
      </c>
      <c r="H12" s="50" t="inlineStr">
        <is>
          <t>2026-07-06</t>
        </is>
      </c>
      <c r="I12" s="50" t="n"/>
    </row>
    <row r="13" ht="33.75" customHeight="1" s="27">
      <c r="A13" s="48" t="inlineStr">
        <is>
          <t>NF-09</t>
        </is>
      </c>
      <c r="B13" s="48" t="inlineStr">
        <is>
          <t>NFR3.2</t>
        </is>
      </c>
      <c r="C13" s="49" t="inlineStr">
        <is>
          <t>Transport encryption</t>
        </is>
      </c>
      <c r="D13" s="49" t="inlineStr">
        <is>
          <t>Inspect the deployed site's connections in browser dev tools (security tab).</t>
        </is>
      </c>
      <c r="E13" s="49" t="inlineStr">
        <is>
          <t>All client-server traffic uses HTTPS with TLS 1.2 or higher; no mixed content.</t>
        </is>
      </c>
      <c r="F13" s="48" t="inlineStr">
        <is>
          <t>Blocked</t>
        </is>
      </c>
      <c r="G13" s="49" t="inlineStr">
        <is>
          <t>Requires the deployed site to inspect TLS; cannot verify from the local build.</t>
        </is>
      </c>
      <c r="H13" s="48" t="inlineStr">
        <is>
          <t>2026-07-06</t>
        </is>
      </c>
      <c r="I13" s="48" t="n"/>
    </row>
    <row r="14" ht="48.75" customHeight="1" s="27">
      <c r="A14" s="50" t="inlineStr">
        <is>
          <t>NF-10</t>
        </is>
      </c>
      <c r="B14" s="50" t="inlineStr">
        <is>
          <t>NFR3.3</t>
        </is>
      </c>
      <c r="C14" s="51" t="inlineStr">
        <is>
          <t>Role-based access control</t>
        </is>
      </c>
      <c r="D14" s="51" t="inlineStr">
        <is>
          <t>As an elder, attempt admin and support URLs; as support, attempt admin URLs and disbursement modification.</t>
        </is>
      </c>
      <c r="E14" s="51" t="inlineStr">
        <is>
          <t>Each role can only reach its own module routes; elders access only their own records; support cannot modify disbursement records.</t>
        </is>
      </c>
      <c r="F14" s="50" t="inlineStr">
        <is>
          <t>Pass</t>
        </is>
      </c>
      <c r="G14" s="51" t="inlineStr">
        <is>
          <t>Code-verified: role-gated routes for elder/admin/support; disbursement pages require admin (controller double-checks role); elders only query their own records.</t>
        </is>
      </c>
      <c r="H14" s="50" t="inlineStr">
        <is>
          <t>2026-07-06</t>
        </is>
      </c>
      <c r="I14" s="50" t="n"/>
    </row>
    <row r="15" ht="48.75" customHeight="1" s="27">
      <c r="A15" s="48" t="inlineStr">
        <is>
          <t>NF-11</t>
        </is>
      </c>
      <c r="B15" s="48" t="inlineStr">
        <is>
          <t>NFR3.3</t>
        </is>
      </c>
      <c r="C15" s="49" t="inlineStr">
        <is>
          <t>Row-level security (data isolation)</t>
        </is>
      </c>
      <c r="D15" s="49" t="inlineStr">
        <is>
          <t>Using the browser session of elder A (or the Supabase client with A's token), query health_reports and applications belonging to elder B.</t>
        </is>
      </c>
      <c r="E15" s="49" t="inlineStr">
        <is>
          <t>RLS policies return no rows or deny the request; one elder can never read another elder's records.</t>
        </is>
      </c>
      <c r="F15" s="48" t="inlineStr">
        <is>
          <t>Pass</t>
        </is>
      </c>
      <c r="G15" s="49" t="inlineStr">
        <is>
          <t>Migrations-verified: RLS enabled on users, applications, application_data, nominees, properties, transactions, health_reports, inquiries with own-data policies (002/003/010/fix_properties_nominees_rls). A live cross-user probe is still advisable.</t>
        </is>
      </c>
      <c r="H15" s="48" t="inlineStr">
        <is>
          <t>2026-07-06</t>
        </is>
      </c>
      <c r="I15" s="48" t="n"/>
    </row>
    <row r="16" ht="33.75" customHeight="1" s="27">
      <c r="A16" s="50" t="inlineStr">
        <is>
          <t>NF-12</t>
        </is>
      </c>
      <c r="B16" s="50" t="inlineStr">
        <is>
          <t>NFR3.4</t>
        </is>
      </c>
      <c r="C16" s="51" t="inlineStr">
        <is>
          <t>Audit logging</t>
        </is>
      </c>
      <c r="D16" s="51" t="inlineStr">
        <is>
          <t>Perform a document upload, an application status change, an admin approval and a login; inspect the log records.</t>
        </is>
      </c>
      <c r="E16" s="51" t="inlineStr">
        <is>
          <t>Each event is logged with the user ID, action type and timestamp.</t>
        </is>
      </c>
      <c r="F16" s="50" t="inlineStr">
        <is>
          <t>Fail</t>
        </is>
      </c>
      <c r="G16" s="51" t="inlineStr">
        <is>
          <t>Not implemented: no audit or activity logging of uploads, status changes, approvals or logins anywhere.</t>
        </is>
      </c>
      <c r="H16" s="50" t="inlineStr">
        <is>
          <t>2026-07-06</t>
        </is>
      </c>
      <c r="I16" s="50" t="n"/>
    </row>
    <row r="17" ht="33.75" customHeight="1" s="27">
      <c r="A17" s="48" t="inlineStr">
        <is>
          <t>NF-13</t>
        </is>
      </c>
      <c r="B17" s="48" t="inlineStr">
        <is>
          <t>-</t>
        </is>
      </c>
      <c r="C17" s="49" t="inlineStr">
        <is>
          <t>Elderly-friendly usability</t>
        </is>
      </c>
      <c r="D17" s="49" t="inlineStr">
        <is>
          <t>Review key user flows on a desktop and a mobile viewport for button size, spacing and readability.</t>
        </is>
      </c>
      <c r="E17" s="49" t="inlineStr">
        <is>
          <t>Buttons and touch targets are large and pages remain usable and readable on both viewports.</t>
        </is>
      </c>
      <c r="F17" s="48" t="inlineStr">
        <is>
          <t>Not Tested</t>
        </is>
      </c>
      <c r="G17" s="49" t="n"/>
      <c r="H17" s="48" t="n"/>
      <c r="I17" s="48" t="n"/>
    </row>
    <row r="18" ht="33.75" customHeight="1" s="27">
      <c r="A18" s="50" t="inlineStr">
        <is>
          <t>NF-14</t>
        </is>
      </c>
      <c r="B18" s="50" t="inlineStr">
        <is>
          <t>-</t>
        </is>
      </c>
      <c r="C18" s="51" t="inlineStr">
        <is>
          <t>Cross-browser verification</t>
        </is>
      </c>
      <c r="D18" s="51" t="inlineStr">
        <is>
          <t>Smoke-test login, application wizard, health upload and support chat on Chrome, Edge and Firefox.</t>
        </is>
      </c>
      <c r="E18" s="51" t="inlineStr">
        <is>
          <t>Core flows work identically on all three browsers with no console errors.</t>
        </is>
      </c>
      <c r="F18" s="50" t="inlineStr">
        <is>
          <t>Not Tested</t>
        </is>
      </c>
      <c r="G18" s="51" t="n"/>
      <c r="H18" s="50" t="n"/>
      <c r="I18" s="50" t="n"/>
    </row>
  </sheetData>
  <autoFilter ref="A4:I18"/>
  <mergeCells count="2">
    <mergeCell ref="A1:I1"/>
    <mergeCell ref="A2:I2"/>
  </mergeCells>
  <conditionalFormatting sqref="F5:F18">
    <cfRule type="cellIs" rank="0" priority="2" equalAverage="0" operator="equal" aboveAverage="0" dxfId="4" text="" percent="0" bottom="0">
      <formula>"Pass"</formula>
    </cfRule>
    <cfRule type="cellIs" rank="0" priority="3" equalAverage="0" operator="equal" aboveAverage="0" dxfId="5" text="" percent="0" bottom="0">
      <formula>"Fail"</formula>
    </cfRule>
    <cfRule type="cellIs" rank="0" priority="4" equalAverage="0" operator="equal" aboveAverage="0" dxfId="6" text="" percent="0" bottom="0">
      <formula>"Partial"</formula>
    </cfRule>
    <cfRule type="cellIs" rank="0" priority="5" equalAverage="0" operator="equal" aboveAverage="0" dxfId="7" text="" percent="0" bottom="0">
      <formula>"Blocked"</formula>
    </cfRule>
  </conditionalFormatting>
  <dataValidations count="2">
    <dataValidation sqref="F5:F18" showDropDown="0" showInputMessage="0" showErrorMessage="0" allowBlank="1" type="list" errorStyle="stop" operator="between">
      <formula1>"Pass,Fail,Partial,Blocked,Not Tested"</formula1>
      <formula2>0</formula2>
    </dataValidation>
    <dataValidation sqref="I5:I18" showDropDown="0" showInputMessage="0" showErrorMessage="0" allowBlank="1" type="list" errorStyle="stop" operator="between">
      <formula1>"Yes,No,N/A"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landscape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2026-07-06T07:58:47Z</dcterms:created>
  <dcterms:modified xsi:type="dcterms:W3CDTF">2026-07-06T15:11:47Z</dcterms:modified>
  <cp:revision>0</cp:revision>
</cp:coreProperties>
</file>