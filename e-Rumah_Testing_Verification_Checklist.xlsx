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1. Health Monitoring" sheetId="2" r:id="rId5"/>
    <sheet state="visible" name="2. Application Mgmt" sheetId="3" r:id="rId6"/>
    <sheet state="visible" name="3. Customer Support" sheetId="4" r:id="rId7"/>
    <sheet state="visible" name="4. Administrative" sheetId="5" r:id="rId8"/>
    <sheet state="visible" name="5. User Management" sheetId="6" r:id="rId9"/>
    <sheet state="visible" name="6. ML Estimator API" sheetId="7" r:id="rId10"/>
    <sheet state="visible" name="7. NFR &amp; Security" sheetId="8" r:id="rId11"/>
  </sheets>
  <definedNames>
    <definedName hidden="1" localSheetId="1" name="_xlnm._FilterDatabase">'1. Health Monitoring'!$A$4:$I$23</definedName>
    <definedName hidden="1" localSheetId="2" name="_xlnm._FilterDatabase">'2. Application Mgmt'!$A$4:$I$21</definedName>
    <definedName hidden="1" localSheetId="3" name="_xlnm._FilterDatabase">'3. Customer Support'!$A$4:$I$18</definedName>
    <definedName hidden="1" localSheetId="4" name="_xlnm._FilterDatabase">'4. Administrative'!$A$4:$I$16</definedName>
    <definedName hidden="1" localSheetId="5" name="_xlnm._FilterDatabase">'5. User Management'!$A$4:$I$19</definedName>
    <definedName hidden="1" localSheetId="6" name="_xlnm._FilterDatabase">'6. ML Estimator API'!$A$4:$I$14</definedName>
    <definedName hidden="1" localSheetId="7" name="_xlnm._FilterDatabase">'7. NFR &amp; Security'!$A$4:$I$18</definedName>
  </definedNames>
  <calcPr/>
  <extLst>
    <ext uri="GoogleSheetsCustomDataVersion2">
      <go:sheetsCustomData xmlns:go="http://customooxmlschemas.google.com/" r:id="rId12" roundtripDataChecksum="JMQulZpMV9bhPvMQxLmWX5hdHeeIOujo8SAkFeguCcM="/>
    </ext>
  </extLst>
</workbook>
</file>

<file path=xl/sharedStrings.xml><?xml version="1.0" encoding="utf-8"?>
<sst xmlns="http://schemas.openxmlformats.org/spreadsheetml/2006/main" count="905" uniqueCount="580">
  <si>
    <t>e-Rumah  |  Testing and Verification Checklist</t>
  </si>
  <si>
    <t>Centralized Reverse Mortgage Marketplace for Elderly Financial Support</t>
  </si>
  <si>
    <t>Student:</t>
  </si>
  <si>
    <t>Ho Kang Kai</t>
  </si>
  <si>
    <t>Institution:</t>
  </si>
  <si>
    <t>Faculty of Computing and Information Technology, TAR UMT, Kuala Lumpur</t>
  </si>
  <si>
    <t>Academic Year:</t>
  </si>
  <si>
    <t>2025/26</t>
  </si>
  <si>
    <t>Repository:</t>
  </si>
  <si>
    <t>github.com/Kangkai64/e-Rumah</t>
  </si>
  <si>
    <t>Requirement source:</t>
  </si>
  <si>
    <t>FYP Report Chapter 4 functional (FR) and non-functional (NFR) requirements</t>
  </si>
  <si>
    <t>How to use</t>
  </si>
  <si>
    <t>1. Each module has its own sheet. Every row is one test item mapped to a requirement ID from Chapter 4 where applicable.</t>
  </si>
  <si>
    <t>2. Execute the Verification Steps, compare against the Expected Result, then set Status via the dropdown (Pass, Fail, Partial, Blocked, Not Tested).</t>
  </si>
  <si>
    <t>3. Record evidence or deviations under Actual Result / Remarks and enter the Date Tested.</t>
  </si>
  <si>
    <t>4. The supervisor marks the final column (Yes / No / N/A) after reviewing the demonstrated behaviour.</t>
  </si>
  <si>
    <t>5. The summary table below updates automatically as statuses are filled in.</t>
  </si>
  <si>
    <t>Status legend</t>
  </si>
  <si>
    <t>Pass</t>
  </si>
  <si>
    <t>Behaves exactly as expected</t>
  </si>
  <si>
    <t>Fail</t>
  </si>
  <si>
    <t>Does not meet the expected result</t>
  </si>
  <si>
    <t>Partial</t>
  </si>
  <si>
    <t>Works with minor deviations noted in remarks</t>
  </si>
  <si>
    <t>Blocked</t>
  </si>
  <si>
    <t>Cannot be tested due to a dependency or environment issue</t>
  </si>
  <si>
    <t>Not Tested</t>
  </si>
  <si>
    <t>Not yet executed</t>
  </si>
  <si>
    <t>Module summary</t>
  </si>
  <si>
    <t>Module</t>
  </si>
  <si>
    <t>Total</t>
  </si>
  <si>
    <t>Tested %</t>
  </si>
  <si>
    <t>Supervisor Verified</t>
  </si>
  <si>
    <t>1. Health Monitoring</t>
  </si>
  <si>
    <t>2. Application Mgmt</t>
  </si>
  <si>
    <t>3. Customer Support</t>
  </si>
  <si>
    <t>4. Administrative</t>
  </si>
  <si>
    <t>5. User Management</t>
  </si>
  <si>
    <t>6. ML Estimator API</t>
  </si>
  <si>
    <t>7. NFR &amp; Security</t>
  </si>
  <si>
    <t>TOTAL</t>
  </si>
  <si>
    <t>Sign-off</t>
  </si>
  <si>
    <t>Student (Ho Kang Kai)</t>
  </si>
  <si>
    <t>Signature:</t>
  </si>
  <si>
    <t>Date:</t>
  </si>
  <si>
    <t>Supervisor</t>
  </si>
  <si>
    <t>Health Monitoring</t>
  </si>
  <si>
    <t>Health Monitoring Module (FR1.1 to FR1.17): medical report uploads, reminders, sharing, and admin verification.</t>
  </si>
  <si>
    <t>Test ID</t>
  </si>
  <si>
    <t>Req. Ref</t>
  </si>
  <si>
    <t>Test Item / Feature</t>
  </si>
  <si>
    <t>Verification Steps</t>
  </si>
  <si>
    <t>Expected Result</t>
  </si>
  <si>
    <t>Status</t>
  </si>
  <si>
    <t>Actual Result / Remarks</t>
  </si>
  <si>
    <t>Date Tested</t>
  </si>
  <si>
    <t>HM-01</t>
  </si>
  <si>
    <t>FR1.1</t>
  </si>
  <si>
    <t>Upload health report (valid file)</t>
  </si>
  <si>
    <t>Log in as elder; open Health Reports; upload a PDF, JPG and PNG each under 10 MB via file picker and via drag-and-drop; fill report title, type, provider and dates; submit.</t>
  </si>
  <si>
    <t>All three files upload successfully; report appears in the list with correct metadata and a pending verification status.</t>
  </si>
  <si>
    <t>Yes</t>
  </si>
  <si>
    <t>HM-02</t>
  </si>
  <si>
    <t>Upload rejection (invalid file)</t>
  </si>
  <si>
    <t>Attempt to upload a .docx file, then a PDF larger than 10 MB.</t>
  </si>
  <si>
    <t>Both uploads are blocked with a plain-language validation message stating the allowed formats (PDF, JPG, PNG) and 10 MB limit; nothing is saved.</t>
  </si>
  <si>
    <t>HM-03</t>
  </si>
  <si>
    <t>FR1.2</t>
  </si>
  <si>
    <t>Report list display</t>
  </si>
  <si>
    <t>Open the elder's health report list after several uploads.</t>
  </si>
  <si>
    <t>List shows only the logged-in elder's reports with report name, type, report date, due date and verification status for each entry.</t>
  </si>
  <si>
    <t>HM-04</t>
  </si>
  <si>
    <t>FR1.3</t>
  </si>
  <si>
    <t>Search reports</t>
  </si>
  <si>
    <t>Enter a partial report name in the search box; repeat with a healthcare provider name; clear the search.</t>
  </si>
  <si>
    <t>Matching reports are returned for both search modes; clearing restores the full list.</t>
  </si>
  <si>
    <t>HM-05</t>
  </si>
  <si>
    <t>FR1.4</t>
  </si>
  <si>
    <t>Filter reports</t>
  </si>
  <si>
    <t>Apply filters for report type, a date range, upload status and due status individually and combined; use Clear Filters.</t>
  </si>
  <si>
    <t>Each filter narrows results correctly; combined filters apply together; Clear Filters restores the full list.</t>
  </si>
  <si>
    <t>HM-06</t>
  </si>
  <si>
    <t>FR1.5</t>
  </si>
  <si>
    <t>Sort reports</t>
  </si>
  <si>
    <t>Sort by report date, upload date, report type, healthcare provider and due date, toggling ascending and descending for each.</t>
  </si>
  <si>
    <t>Rows reorder correctly for every field in both directions.</t>
  </si>
  <si>
    <t>HM-07</t>
  </si>
  <si>
    <t>FR1.6</t>
  </si>
  <si>
    <t>Due reminder notification</t>
  </si>
  <si>
    <t>Create a report reminder with a due date; wait for or trigger the reminder-processor edge function on the due date.</t>
  </si>
  <si>
    <t>Elder receives an in-system notification (and email where configured) that the health report is due.</t>
  </si>
  <si>
    <t>Need to test with real email</t>
  </si>
  <si>
    <t>HM-08</t>
  </si>
  <si>
    <t>FR1.7</t>
  </si>
  <si>
    <t>Overdue alert (3 months)</t>
  </si>
  <si>
    <t>Set a report due date more than three months in the past (test data) and run the reminder process.</t>
  </si>
  <si>
    <t>An overdue alert is sent to the elder and the report is marked overdue.</t>
  </si>
  <si>
    <t>HM-09</t>
  </si>
  <si>
    <t>FR1.8</t>
  </si>
  <si>
    <t>Share via temporary link</t>
  </si>
  <si>
    <t>Share a report using the shareable link option (default 7-day expiry); open the /shared-report/:token URL in a private browser window without logging in.</t>
  </si>
  <si>
    <t>Public page loads the report without authentication; access count increments; expiry date recorded in health_report_shares.</t>
  </si>
  <si>
    <t>HM-10</t>
  </si>
  <si>
    <t>Share via email and PDF download</t>
  </si>
  <si>
    <t>Share a report to a recipient email address; also download the report as a PDF.</t>
  </si>
  <si>
    <t>Recipient email is sent containing the share link and expiry date; PDF downloads and opens correctly.</t>
  </si>
  <si>
    <t>HM-11</t>
  </si>
  <si>
    <t>Expired share link blocked</t>
  </si>
  <si>
    <t>Set a share record's expires_at to the past (test data) and open its link.</t>
  </si>
  <si>
    <t>Access is denied with an expiry message; report content is not shown.</t>
  </si>
  <si>
    <t>HM-12</t>
  </si>
  <si>
    <t>FR1.9</t>
  </si>
  <si>
    <t>Document archive persistence</t>
  </si>
  <si>
    <t>Upload documents, then revisit the account days later while the application remains active.</t>
  </si>
  <si>
    <t>All submitted health documents remain stored and retrievable for the duration of the active application.</t>
  </si>
  <si>
    <t>HM-13</t>
  </si>
  <si>
    <t>FR1.10</t>
  </si>
  <si>
    <t>Admin views all reports</t>
  </si>
  <si>
    <t>Log in as admin; open /admin/health-reports.</t>
  </si>
  <si>
    <t>Reports from all elders are visible, each showing the applicant it belongs to.</t>
  </si>
  <si>
    <t>HM-14</t>
  </si>
  <si>
    <t>FR1.11-1.13</t>
  </si>
  <si>
    <t>Admin search, filter, sort</t>
  </si>
  <si>
    <t>As admin, search by applicant name, report name and provider name; filter by type, date range, upload status, due status; sort by each supported field asc/desc.</t>
  </si>
  <si>
    <t>All admin search, filter and sort combinations behave correctly.</t>
  </si>
  <si>
    <t>HM-15</t>
  </si>
  <si>
    <t>FR1.14</t>
  </si>
  <si>
    <t>Admin approves report</t>
  </si>
  <si>
    <t>As admin, open a submitted report, review the PDF in the viewer, click Approve and confirm.</t>
  </si>
  <si>
    <t>Report verification status changes to approved and the change is visible to the elder.</t>
  </si>
  <si>
    <t>HM-16</t>
  </si>
  <si>
    <t>FR1.15</t>
  </si>
  <si>
    <t>Admin archives report</t>
  </si>
  <si>
    <t>As admin, click Archive on a report.</t>
  </si>
  <si>
    <t>A confirmation prompt appears first; after confirming, the report is archived and removed from the active list.</t>
  </si>
  <si>
    <t>HM-17</t>
  </si>
  <si>
    <t>FR1.16</t>
  </si>
  <si>
    <t>Admin flags report</t>
  </si>
  <si>
    <t>As admin, flag a report; try to confirm without a reason, then enter a written reason and confirm.</t>
  </si>
  <si>
    <t>Flagging is blocked until a reason is entered; once flagged, the item is routed to the Customer Support dashboard and the elder is notified.</t>
  </si>
  <si>
    <t>HM-18</t>
  </si>
  <si>
    <t>FR1.17</t>
  </si>
  <si>
    <t>Due-date status badge</t>
  </si>
  <si>
    <t>As admin, view reports that are up to date, due soon and overdue (test data).</t>
  </si>
  <si>
    <t>Each report shows the correct badge state: up to date, due soon or overdue.</t>
  </si>
  <si>
    <t>HM-19</t>
  </si>
  <si>
    <t>-</t>
  </si>
  <si>
    <t>Reminder maintenance</t>
  </si>
  <si>
    <t>As elder, create a reminder, edit its date and category, mark it as notified, then delete it.</t>
  </si>
  <si>
    <t>Create, edit, mark-notified and delete all persist correctly; upcoming and overdue reminder lists refresh.</t>
  </si>
  <si>
    <t>HM-20</t>
  </si>
  <si>
    <t>WEBP upload triggers forced PDF conversion</t>
  </si>
  <si>
    <t>Log in as elder; open Health Reports; select a WEBP image to upload, alone and alongside a PDF; observe the prompt shown before the upload proceeds.</t>
  </si>
  <si>
    <t>A confirm dialog states health reports must be in PDF format and offers to convert the selected image(s) into one PDF; accepting converts and uploads a single PDF; declining aborts the upload (the WEBP file is never stored as-is).</t>
  </si>
  <si>
    <t>HM-21</t>
  </si>
  <si>
    <t>Disable and re-enable a reminder</t>
  </si>
  <si>
    <t>As elder, open Health Reports &gt; Reminders; toggle an active reminder's switch to disable it; expand the 'Disabled reminders' section; toggle it back on.</t>
  </si>
  <si>
    <t>Disabling removes the reminder from the active list into a collapsible 'Disabled reminders (n)' section; re-toggling it there re-enables it and returns it to the active list; both actions persist and show a confirmation toast.</t>
  </si>
  <si>
    <t>Application Mgmt</t>
  </si>
  <si>
    <t>Application Management Module (FR2.1 to FR2.14): application lifecycle from draft through submission, review, approval and termination.</t>
  </si>
  <si>
    <t>AM-01</t>
  </si>
  <si>
    <t>FR2.1</t>
  </si>
  <si>
    <t>Create new application (7-step wizard)</t>
  </si>
  <si>
    <t>Log in as a new elder; start an application; select the lending organisation; step through Step 1 Personal Information, Step 2 Joint Applicant and Banking, Step 3 Property, Step 4 Nominees, Step 5 Privacy and Declaration, Step 6 Signatures and Documents, Step 7 Review and Submit.</t>
  </si>
  <si>
    <t>Wizard opens at Step 1 and all seven steps are reachable in order with a visible progress indicator.</t>
  </si>
  <si>
    <t>AM-02</t>
  </si>
  <si>
    <t>FR2.2</t>
  </si>
  <si>
    <t>Draft auto-save and resume</t>
  </si>
  <si>
    <t>Fill part of Step 2, stop typing for a moment, log out, then log back in and reopen the application.</t>
  </si>
  <si>
    <t>Form state is auto-saved to Supabase (1-second debounce, localStorage fallback) and the wizard resumes at the saved step with all entered data intact.</t>
  </si>
  <si>
    <t>AM-03</t>
  </si>
  <si>
    <t>FR2.3</t>
  </si>
  <si>
    <t>Automatic eligibility validation</t>
  </si>
  <si>
    <t>Enter an IC number giving an age below 55, then one above 120, then a valid one (55 to 120).</t>
  </si>
  <si>
    <t>Underage and overage applicants are blocked with clear messages; valid age passes. Birth date and sex auto-derive from the Malaysian IC (YYMMDD-PB-###G).</t>
  </si>
  <si>
    <t>AM-04</t>
  </si>
  <si>
    <t>Per-step field validation</t>
  </si>
  <si>
    <t>On each step, click Next with required fields empty; enter an invalid IC, phone, postcode, email and account number.</t>
  </si>
  <si>
    <t>Next is blocked and custom React validation messages identify each invalid field (no browser-native popups); valid input clears the errors.</t>
  </si>
  <si>
    <t>AM-05</t>
  </si>
  <si>
    <t>FR2.4</t>
  </si>
  <si>
    <t>Disqualifying condition alerts</t>
  </si>
  <si>
    <t>Enter property details that fail scheme criteria (for example non-freehold tenure or unsupported property type) and proceed toward submission.</t>
  </si>
  <si>
    <t>Clear alerts identify each disqualifying condition before the application can be submitted.</t>
  </si>
  <si>
    <t>AM-06</t>
  </si>
  <si>
    <t>FR2.5</t>
  </si>
  <si>
    <t>Submit completed application</t>
  </si>
  <si>
    <t>Complete all steps with valid data and signatures, then submit from Step 7.</t>
  </si>
  <si>
    <t>Nominee and property records are written; a filled PDF is generated from the Application_Form template (signatures embedded on the correct pages); the PDF uploads to the application-forms storage bucket; status changes draft to submitted.</t>
  </si>
  <si>
    <t>AM-07</t>
  </si>
  <si>
    <t>FR2.6</t>
  </si>
  <si>
    <t>Modify before approval</t>
  </si>
  <si>
    <t>With a submitted (not yet approved) application, edit personal details, property details, uploaded documents and nominee information from the Maintain Application page.</t>
  </si>
  <si>
    <t>All edits save successfully and are reflected in the application record.</t>
  </si>
  <si>
    <t>AM-08</t>
  </si>
  <si>
    <t>FR2.7</t>
  </si>
  <si>
    <t>Modification locked after approval</t>
  </si>
  <si>
    <t>After admin approval, attempt to edit the same sections.</t>
  </si>
  <si>
    <t>All modification actions are disabled or rejected; the application is read-only.</t>
  </si>
  <si>
    <t>AM-09</t>
  </si>
  <si>
    <t>FR2.8</t>
  </si>
  <si>
    <t>Pre-approval cancellation is not offered (design confirmation)</t>
  </si>
  <si>
    <t>With a submitted or under-review application (not yet approved), open the Maintain Application page and look for any cancel/withdraw action.</t>
  </si>
  <si>
    <t>No cancel/withdraw action is available before approval. The only cancellation path is 'Terminate Application' on the Maintain Application page, which stays hidden/disabled until the application reaches 'approved' status (see AM-11).</t>
  </si>
  <si>
    <t>AM-10</t>
  </si>
  <si>
    <t>FR2.9</t>
  </si>
  <si>
    <t>Status and progress visibility</t>
  </si>
  <si>
    <t>Open the application status page at each lifecycle stage (draft, submitted, underReviewed, approved, terminated).</t>
  </si>
  <si>
    <t>The current status and a timeline of progress events are always displayed accurately to the elder.</t>
  </si>
  <si>
    <t>AM-11</t>
  </si>
  <si>
    <t>FR2.10</t>
  </si>
  <si>
    <t>Termination request after approval</t>
  </si>
  <si>
    <t>With an approved application, submit a termination request from the user side.</t>
  </si>
  <si>
    <t>Request is accepted; status moves approved to underReviewed pending admin decision, and the elder can track it.</t>
  </si>
  <si>
    <t>AM-12</t>
  </si>
  <si>
    <t>FR2.11</t>
  </si>
  <si>
    <t>Nominee property redemption</t>
  </si>
  <si>
    <t>Using test data for a deceased elder or terminated scheme, submit a property redemption application as the nominee.</t>
  </si>
  <si>
    <t>Redemption application is created, linked to the original application and visible to the administrator.</t>
  </si>
  <si>
    <t>AM-13</t>
  </si>
  <si>
    <t>FR2.14</t>
  </si>
  <si>
    <t>Status-change notifications</t>
  </si>
  <si>
    <t>As admin, move an application through submitted, underReviewed, approved (or rejected).</t>
  </si>
  <si>
    <t>On every status change the elder receives an email or in-system notification stating the new status.</t>
  </si>
  <si>
    <t>AM-14</t>
  </si>
  <si>
    <t>Document upload and replacement in wizard</t>
  </si>
  <si>
    <t>In Step 6, upload a supporting document, delete it, then upload a replacement.</t>
  </si>
  <si>
    <t>Upload, delete and replace all work; only the final document remains attached to the application.</t>
  </si>
  <si>
    <t>AM-15</t>
  </si>
  <si>
    <t>Duplicate IC prevention</t>
  </si>
  <si>
    <t>Enter the applicant's IC again as the joint applicant, then as a nominee; also try a nominee IC already used by another nominee.</t>
  </si>
  <si>
    <t>Duplicate IC combinations are rejected with a message that the person must not duplicate existing applicant or nominee information.</t>
  </si>
  <si>
    <t>AM-16</t>
  </si>
  <si>
    <t>Generated PDF field mapping</t>
  </si>
  <si>
    <t>Download the generated application PDF after submission and compare every filled field, checkbox and radio group against the data entered in the wizard.</t>
  </si>
  <si>
    <t>All fields map correctly; applicant and joint signatures appear on page 4 and the nominee acknowledgement signature on page 6.</t>
  </si>
  <si>
    <t>AM-17</t>
  </si>
  <si>
    <t>Returned-for-correction flow</t>
  </si>
  <si>
    <t>Have admin return an application with notes; as elder, dismiss the reject reason banner, upload the corrected document and resubmit.</t>
  </si>
  <si>
    <t>Notes are visible to the elder; corrected resubmission moves the application back into review.</t>
  </si>
  <si>
    <t>AM-18</t>
  </si>
  <si>
    <t>Joint applicant address/marital-status auto-sync</t>
  </si>
  <si>
    <t>In Step 2 (Joint Applicant and Banking), tick 'Same marital status as applicant' and 'Lives at the same address as applicant'; change the primary applicant's marital status and address.</t>
  </si>
  <si>
    <t>Once ticked, the joint applicant's marital status, address, postcode and residence phone fields disable and pre-fill from the primary applicant's values, and stay in sync while the checkboxes remain ticked and the primary applicant's details change.</t>
  </si>
  <si>
    <t>AM-19</t>
  </si>
  <si>
    <t>Property postcode exclusion validation (free text)</t>
  </si>
  <si>
    <t>In the Property step, enter a property postcode that is one of the 13 excluded KL postcodes (e.g. 41100); then enter a valid, non-excluded 5-digit postcode.</t>
  </si>
  <si>
    <t>The excluded postcode is rejected with a message naming it as excluded from eligibility and listing the 13 excluded postcodes; a non-excluded postcode passes. The field is free text, not a restrictive dropdown.</t>
  </si>
  <si>
    <t>AM-20</t>
  </si>
  <si>
    <t>Salutation auto-clears on IC-derived sex mismatch</t>
  </si>
  <si>
    <t>Select a gendered salutation (e.g. Mr) for the applicant, joint applicant, or a nominee; then edit that person's IC number so the derived sex no longer matches the chosen salutation.</t>
  </si>
  <si>
    <t>The salutation field clears automatically and an info toast explains it no longer matches the IC-derived gender and must be reselected; gender-neutral salutations and 'Other:' entries are unaffected.</t>
  </si>
  <si>
    <t>AM-21</t>
  </si>
  <si>
    <t>Bank-name dropdown with duplicate detection</t>
  </si>
  <si>
    <t>In the Banking section, open the 'Name of Bank' dropdown and select a listed bank; then select 'Other' and type the name of a bank already in the list (e.g. 'Maybank').</t>
  </si>
  <si>
    <t>The dropdown lists the major Malaysian banks plus 'Other'; choosing 'Other' reveals a free-text field; typing a name matching an already-listed bank is rejected with a message asking the user to pick it from the dropdown instead of typing it.</t>
  </si>
  <si>
    <t>Customer Support</t>
  </si>
  <si>
    <t>Customer Support Module (FR3.1 to FR3.11): FAQs, tutorials, inquiries, real-time chat and proactive alerts.</t>
  </si>
  <si>
    <t>CS-01</t>
  </si>
  <si>
    <t>FR3.1</t>
  </si>
  <si>
    <t>FAQ self-help section</t>
  </si>
  <si>
    <t>Open the FAQ section as an elder and review entries on application procedure, payout calculation, eligibility and required documents.</t>
  </si>
  <si>
    <t>FAQ renders correctly and covers the four required topic areas.</t>
  </si>
  <si>
    <t>CS-02</t>
  </si>
  <si>
    <t>FR3.2</t>
  </si>
  <si>
    <t>Step-by-step tutorials</t>
  </si>
  <si>
    <t>Open the guided tutorial or walkthrough for completing the application form and for uploading health reports.</t>
  </si>
  <si>
    <t>Tutorials display in order and match the current UI.</t>
  </si>
  <si>
    <t>CS-03</t>
  </si>
  <si>
    <t>FR3.3</t>
  </si>
  <si>
    <t>Submit general inquiry</t>
  </si>
  <si>
    <t>Submit the contact form empty, then with an invalid and a disposable email, then with valid data.</t>
  </si>
  <si>
    <t>Invalid submissions are blocked with field-level messages (including temp-email rejection); a valid inquiry is created with status open.</t>
  </si>
  <si>
    <t>CS-04</t>
  </si>
  <si>
    <t>FR3.4</t>
  </si>
  <si>
    <t>Support contact details display</t>
  </si>
  <si>
    <t>View the support page as an elder.</t>
  </si>
  <si>
    <t>Current phone number, email address and operating hours are displayed.</t>
  </si>
  <si>
    <t>CS-05</t>
  </si>
  <si>
    <t>FR3.5</t>
  </si>
  <si>
    <t>Critical alerts to elder</t>
  </si>
  <si>
    <t>Trigger a deadline-approaching alert and a flagged-document alert (test data).</t>
  </si>
  <si>
    <t>Elder receives an alert notification for both events identifying the deadline or the flagged document.</t>
  </si>
  <si>
    <t>CS-06</t>
  </si>
  <si>
    <t>FR3.6</t>
  </si>
  <si>
    <t>Staff inquiry dashboard</t>
  </si>
  <si>
    <t>Log in as customer support staff; open the support dashboard.</t>
  </si>
  <si>
    <t>All inquiries are listed and organised by status (open, in progress, resolved) with working tab or status grouping.</t>
  </si>
  <si>
    <t>CS-07</t>
  </si>
  <si>
    <t>FR3.7</t>
  </si>
  <si>
    <t>Staff reply to inquiry</t>
  </si>
  <si>
    <t>As staff, open an inquiry and send a reply while the elder has the support page open in another browser.</t>
  </si>
  <si>
    <t>Reply is stored in support_conversations and appears on the elder's screen in real time without a page refresh.</t>
  </si>
  <si>
    <t>CS-08</t>
  </si>
  <si>
    <t>Two-way real-time chat</t>
  </si>
  <si>
    <t>Exchange several messages in both directions between elder and staff.</t>
  </si>
  <si>
    <t>Messages appear live on both sides via Supabase channel subscriptions, in correct order, linked by entity_type and entity_id.</t>
  </si>
  <si>
    <t>CS-09</t>
  </si>
  <si>
    <t>FR3.8</t>
  </si>
  <si>
    <t>Resolve inquiry and lock thread</t>
  </si>
  <si>
    <t>As staff, mark the inquiry resolved; as elder, attempt to send another message.</t>
  </si>
  <si>
    <t>Status updates to resolved in real time; the elder's message composer is hidden and sending is blocked in the controller.</t>
  </si>
  <si>
    <t>CS-10</t>
  </si>
  <si>
    <t>FR3.9</t>
  </si>
  <si>
    <t>Proactive notifications</t>
  </si>
  <si>
    <t>As staff, compose and send a notification to an individual elder, then to a group (for example a deadline reminder).</t>
  </si>
  <si>
    <t>Both messages are delivered to the intended recipients only.</t>
  </si>
  <si>
    <t>CS-11</t>
  </si>
  <si>
    <t>FR3.10</t>
  </si>
  <si>
    <t>Update public contact info</t>
  </si>
  <si>
    <t>As staff, edit the displayed phone, email and hours; reload the elder support page.</t>
  </si>
  <si>
    <t>New contact details persist (settings storage) and are shown to elders.</t>
  </si>
  <si>
    <t>CS-12</t>
  </si>
  <si>
    <t>FR3.11</t>
  </si>
  <si>
    <t>Nominee view and application flagging</t>
  </si>
  <si>
    <t>As staff, open the nominee details for an elder's application and flag the application with a written reason.</t>
  </si>
  <si>
    <t>Nominee details display correctly; the flag with its reason is recorded and visible to the administrator.</t>
  </si>
  <si>
    <t>CS-13</t>
  </si>
  <si>
    <t>Flagged health reports queue</t>
  </si>
  <si>
    <t>After HM-17, check the support dashboard's flagged items.</t>
  </si>
  <si>
    <t>Health reports flagged by admin appear in the support queue with the flag reason, ready for elder notification.</t>
  </si>
  <si>
    <t>CS-14</t>
  </si>
  <si>
    <t>Search, filter and sort inquiries</t>
  </si>
  <si>
    <t>On the staff dashboard, search by keyword, filter by field values and change sort order.</t>
  </si>
  <si>
    <t>Inquiry list responds correctly to search, filter and sort controls.</t>
  </si>
  <si>
    <t>Administrative</t>
  </si>
  <si>
    <t>Administrative Module (FR4.1 to FR4.7): application review decisions, report generation and oversight tools.</t>
  </si>
  <si>
    <t>AD-01</t>
  </si>
  <si>
    <t>FR4.1</t>
  </si>
  <si>
    <t>Application list and detail view</t>
  </si>
  <si>
    <t>Log in as admin; open the dashboard; select an application to open its full detail page and view supporting documents in the PDF viewer.</t>
  </si>
  <si>
    <t>All submitted applications are listed with current status; the selected application shows complete details and readable documents.</t>
  </si>
  <si>
    <t>AD-02</t>
  </si>
  <si>
    <t>FR2.12</t>
  </si>
  <si>
    <t>Search, filter and sort applications</t>
  </si>
  <si>
    <t>Filter the list by status, date and organisation; use the search box; change sort field and order.</t>
  </si>
  <si>
    <t>List updates correctly for every filter, search and sort combination.</t>
  </si>
  <si>
    <t>AD-03</t>
  </si>
  <si>
    <t>FR4.2</t>
  </si>
  <si>
    <t>Approve application</t>
  </si>
  <si>
    <t>Open a reviewed application, enter the approved amount, click Approve and confirm in the modal.</t>
  </si>
  <si>
    <t>Status changes to approved, approved amount is stored, and the elder is notified of the decision.</t>
  </si>
  <si>
    <t>AD-04</t>
  </si>
  <si>
    <t>FR4.3</t>
  </si>
  <si>
    <t>Return with written notes</t>
  </si>
  <si>
    <t>Return an application with notes specifying required corrections or documents.</t>
  </si>
  <si>
    <t>Notes are saved and communicated to the applicant; application awaits resubmission.</t>
  </si>
  <si>
    <t>AD-05</t>
  </si>
  <si>
    <t>FR4.4</t>
  </si>
  <si>
    <t>Reject with mandatory reason</t>
  </si>
  <si>
    <t>Attempt to reject without a reason, then reject with one.</t>
  </si>
  <si>
    <t>Rejection is blocked until a reason is entered; once rejected, the reason is stored and communicated to the applicant.</t>
  </si>
  <si>
    <t>AD-06</t>
  </si>
  <si>
    <t>FR4.5</t>
  </si>
  <si>
    <t>Generate application analysis report</t>
  </si>
  <si>
    <t>From an application, generate the analysis report PDF.</t>
  </si>
  <si>
    <t>PDF is produced containing applicant details, property summary, eligibility check results and current status.</t>
  </si>
  <si>
    <t>AD-07</t>
  </si>
  <si>
    <t>FR4.6</t>
  </si>
  <si>
    <t>Download, print, archive, share report</t>
  </si>
  <si>
    <t>Use the download, print, archive and share actions on a generated report.</t>
  </si>
  <si>
    <t>Each action completes: file downloads, print dialog opens with correct layout, archive requires confirmation, share link works.</t>
  </si>
  <si>
    <t>AD-08</t>
  </si>
  <si>
    <t>FR4.7</t>
  </si>
  <si>
    <t>Approve or reject nominee</t>
  </si>
  <si>
    <t>Approve one nominee and reject another, entering a reason each time.</t>
  </si>
  <si>
    <t>Decisions and reasons are recorded; nominee status updates are visible to the elder.</t>
  </si>
  <si>
    <t>AD-09</t>
  </si>
  <si>
    <t>Termination request decision</t>
  </si>
  <si>
    <t>Approve one termination request and reject another.</t>
  </si>
  <si>
    <t>Approved request moves the application to terminated (elder is then blocked from /application); rejected request restores approved status. Elder is notified either way.</t>
  </si>
  <si>
    <t>AD-10</t>
  </si>
  <si>
    <t>Flag document during review</t>
  </si>
  <si>
    <t>While reviewing, flag a specific document; try confirming without a reason first.</t>
  </si>
  <si>
    <t>Reason is mandatory; flagged document and reason are recorded and routed for elder correction.</t>
  </si>
  <si>
    <t>AD-11</t>
  </si>
  <si>
    <t>Report generator (monthly / analysis)</t>
  </si>
  <si>
    <t>Open the report generator from the dashboard, choose parameters and confirm generation.</t>
  </si>
  <si>
    <t>Modal opens, generation completes and the report is available for download.</t>
  </si>
  <si>
    <t>AD-12</t>
  </si>
  <si>
    <t>Admin route protection</t>
  </si>
  <si>
    <t>While logged in as an elder and as support staff, manually navigate to /admin/dashboard and /admin/review/:id.</t>
  </si>
  <si>
    <t>Non-admin roles are redirected to their own dashboards; admin pages never render.</t>
  </si>
  <si>
    <t>AD-13</t>
  </si>
  <si>
    <t>Pending-applications quick stats and Days Waiting column</t>
  </si>
  <si>
    <t>As admin, open the dashboard; click the 'Pending Applications' stat card, then the 'Pending Only' quick-filter button; check the Days Waiting column for a pending application older than 7 days.</t>
  </si>
  <si>
    <t>Both the stat card and the quick-filter button narrow the list to submitted/underReviewed applications; the Days Waiting column shows days elapsed since submission for pending applications only (blank for others) and is visually flagged once it exceeds 7 days.</t>
  </si>
  <si>
    <t>User Management</t>
  </si>
  <si>
    <t>User Management Module (FR5.1 to FR5.9): accounts and access, payouts, disbursements, nominees and property value display.</t>
  </si>
  <si>
    <t>UM-01</t>
  </si>
  <si>
    <t>User registration</t>
  </si>
  <si>
    <t>Register a new account with email and password; check the users table entry; attempt registration with an already-used email.</t>
  </si>
  <si>
    <t>Account is created with a profile row; duplicate email is rejected with a clear message.</t>
  </si>
  <si>
    <t>UM-02</t>
  </si>
  <si>
    <t>User login and logout</t>
  </si>
  <si>
    <t>Log in with wrong credentials, then correct ones; log out.</t>
  </si>
  <si>
    <t>Wrong credentials show an error; successful login lands on the user dashboard; logout clears the session and returns to the login page.</t>
  </si>
  <si>
    <t>UM-03</t>
  </si>
  <si>
    <t>Staff login routing</t>
  </si>
  <si>
    <t>Log in via the staff login page as an admin account and as a support account.</t>
  </si>
  <si>
    <t>Admin is routed to /admin/dashboard and support to /support/dashboard, with role resolved from auth metadata or the admins / customer_supports tables.</t>
  </si>
  <si>
    <t>UM-04</t>
  </si>
  <si>
    <t>Status-based route protection</t>
  </si>
  <si>
    <t>Log in as a user with an incomplete application, then as a user whose application is terminated; try navigating to other routes.</t>
  </si>
  <si>
    <t>Incomplete user is redirected to /application; terminated user is blocked from /application; role and status survive a page reload (cached in localStorage).</t>
  </si>
  <si>
    <t>UM-05</t>
  </si>
  <si>
    <t>FR5.1</t>
  </si>
  <si>
    <t>Property value estimate on dashboard</t>
  </si>
  <si>
    <t>Open the user dashboard for an approved application; read the estimated property value; click the re-estimate action.</t>
  </si>
  <si>
    <t>An estimated value in RM is shown with an indicative-only disclaimer; re-estimation calls the edge function and refreshes the figure.</t>
  </si>
  <si>
    <t>UM-06</t>
  </si>
  <si>
    <t>FR5.2</t>
  </si>
  <si>
    <t>Payout calculation and toggle</t>
  </si>
  <si>
    <t>Toggle between monthly payout and lump-sum views on the dashboard.</t>
  </si>
  <si>
    <t>Estimated payout recalculates from the applicant age, property type, location and verified property value; both views display consistent figures.</t>
  </si>
  <si>
    <t>Re-verified 2026-07-10: not outdated - the monthly/lump-sum toggle works and both views show consistent figures. However the calculation only derives from approved_amount/240 (or 70% of property value); applicant age, property type and location are not factored in as FR5.2 describes.</t>
  </si>
  <si>
    <t>UM-07</t>
  </si>
  <si>
    <t>FR5.3</t>
  </si>
  <si>
    <t>Nominee apportioned proceeds</t>
  </si>
  <si>
    <t>View the apportioned proceeds figure for a nominee using test data at different elapsed times since commencement.</t>
  </si>
  <si>
    <t>Proceeds payable to the nominee are calculated from time elapsed since the scheme commenced and update with the elapsed period.</t>
  </si>
  <si>
    <t>UM-08</t>
  </si>
  <si>
    <t>FR5.4</t>
  </si>
  <si>
    <t>Disbursement history</t>
  </si>
  <si>
    <t>Open the disbursement history; apply the disbursement filter.</t>
  </si>
  <si>
    <t>All payouts list amount, date and payment method; filtering narrows the records correctly.</t>
  </si>
  <si>
    <t>UM-09</t>
  </si>
  <si>
    <t>FR5.5</t>
  </si>
  <si>
    <t>Totals and remaining balance</t>
  </si>
  <si>
    <t>Compare the displayed total disbursed and remaining estimated balance against the individual disbursement records.</t>
  </si>
  <si>
    <t>Total disbursed equals the sum of records; remaining balance and disbursement percentage are consistent with the approved amount.</t>
  </si>
  <si>
    <t>UM-10</t>
  </si>
  <si>
    <t>FR5.6</t>
  </si>
  <si>
    <t>Nominate a nominee</t>
  </si>
  <si>
    <t>During the application, add a nominee with name, IC, relationship and contact details; test invalid IC and phone values.</t>
  </si>
  <si>
    <t>Valid nominee is saved; invalid fields are rejected with clear messages; nominee data auto-populates where supported.</t>
  </si>
  <si>
    <t>UM-11</t>
  </si>
  <si>
    <t>FR5.7</t>
  </si>
  <si>
    <t>Update nominee before approval</t>
  </si>
  <si>
    <t>Edit nominee details via the edit-nominees route while the application is not yet approved; retry after approval.</t>
  </si>
  <si>
    <t>Pre-approval edits save; post-approval edits are blocked.</t>
  </si>
  <si>
    <t>UM-12</t>
  </si>
  <si>
    <t>Save bank details</t>
  </si>
  <si>
    <t>Enter bank details with an invalid account number, then valid ones, and save.</t>
  </si>
  <si>
    <t>Invalid account number is rejected; valid details persist and are used for disbursement records.</t>
  </si>
  <si>
    <t>UM-13</t>
  </si>
  <si>
    <t>FR5.8</t>
  </si>
  <si>
    <t>Admin records disbursement</t>
  </si>
  <si>
    <t>As admin, open /admin/disbursements, select an approved application and create a disbursement with date, amount and method; then edit it.</t>
  </si>
  <si>
    <t>Only approved applications are selectable; the record saves and updates, and appears in the elder's disbursement history.</t>
  </si>
  <si>
    <t>UM-14</t>
  </si>
  <si>
    <t>FR5.9</t>
  </si>
  <si>
    <t>Verified value update triggers recalculation</t>
  </si>
  <si>
    <t>As admin, update the verified property value after a formal appraisal; view the elder dashboard afterwards.</t>
  </si>
  <si>
    <t>New verified value is stored and the elder's displayed payout amounts recalculate from it.</t>
  </si>
  <si>
    <t>UM-15</t>
  </si>
  <si>
    <t>Public property calculator page</t>
  </si>
  <si>
    <t>Open /property-calculator without logging in; submit empty, then with invalid numbers, then valid inputs; use Reset.</t>
  </si>
  <si>
    <t>Page is publicly accessible; required-field and numeric validation fire; a valid submission returns an estimate; Reset clears the form.</t>
  </si>
  <si>
    <t>UM-16</t>
  </si>
  <si>
    <t>Auto-scheduled disbursement review (Confirm / Skip)</t>
  </si>
  <si>
    <t>As admin, open /admin/disbursements and view the pending auto-scheduled payouts list for approved applications; click Review on a pending slot and Confirm &amp; Record after checking the bank transfer was made; Skip a different slot.</t>
  </si>
  <si>
    <t>Pending schedule slots (amount = approved_amount / 240, capped at the remaining balance) are listed for admin action. Confirm creates a real transaction record, marks the schedule 'confirmed' and links the transaction_id; Skip marks the schedule 'skipped' with no transaction created; concurrent confirms on the same slot cannot both succeed.</t>
  </si>
  <si>
    <t>UM-17</t>
  </si>
  <si>
    <t>Pending-disbursement email notification to admins</t>
  </si>
  <si>
    <t>With one or more schedule rows left pending and un-notified, trigger (or wait for) the daily loan-disbursement-notifier cron job.</t>
  </si>
  <si>
    <t>Every admin with an email on file receives an HTML email listing applicant/amount/due-date for all pending, not-yet-notified schedule rows, subject '&lt;n&gt; loan disbursement(s) pending confirmation'; notified rows are marked so they aren't re-sent next run.</t>
  </si>
  <si>
    <t>ML Estimator API</t>
  </si>
  <si>
    <t>Property Value Estimator (FastAPI POST /estimate): XGBoost pipeline with KNN geospatial blending, trained on NAPIC data.</t>
  </si>
  <si>
    <t>ML-01</t>
  </si>
  <si>
    <t>API health endpoint</t>
  </si>
  <si>
    <t>Start the FastAPI service (uvicorn api:app) with the trained model present; call GET /health.</t>
  </si>
  <si>
    <t>Response is status ok with the resolved model path; with the model file removed, status reports model_not_loaded.</t>
  </si>
  <si>
    <t>ML-02</t>
  </si>
  <si>
    <t>Valid estimation request</t>
  </si>
  <si>
    <t>POST /estimate with a complete valid body (property_type, scheme_name, district, mukim, floor_area_sqm, land_area_sqm, tenure, unit_level, txn_year, txn_month).</t>
  </si>
  <si>
    <t>200 response containing estimated_price_rm, lower_bound_rm, upper_bound_rm, confidence_band_pct, model_version, currency MYR and the NAPIC disclaimer text.</t>
  </si>
  <si>
    <t>ML-03</t>
  </si>
  <si>
    <t>Request schema validation</t>
  </si>
  <si>
    <t>POST /estimate with floor_area_sqm of 0 or negative, txn_month of 13, and a missing required field.</t>
  </si>
  <si>
    <t>Each invalid request returns HTTP 422 with a field-level validation error; no estimate is produced.</t>
  </si>
  <si>
    <t>ML-04</t>
  </si>
  <si>
    <t>Model-not-trained handling</t>
  </si>
  <si>
    <t>Rename or remove the model file and POST /estimate.</t>
  </si>
  <si>
    <t>API returns HTTP 503 with a clear message that the model is not yet trained; service does not crash.</t>
  </si>
  <si>
    <t>ML-05</t>
  </si>
  <si>
    <t>Estimate plausibility check</t>
  </si>
  <si>
    <t>Estimate 3 to 5 properties with known recent NAPIC transaction prices in the same scheme and district.</t>
  </si>
  <si>
    <t>Each known price falls within or near the returned confidence band; no negative or implausible values (confirms correct inverse of the log-transformed target).</t>
  </si>
  <si>
    <t>ML-06</t>
  </si>
  <si>
    <t>KNN geospatial blending path</t>
  </si>
  <si>
    <t>Run an estimate for a property with lat/lon and at least 3 comparables within 10 km, then one without coordinates or comparables.</t>
  </si>
  <si>
    <t>First case returns the blended output (60 percent XGBoost, 40 percent KNN); second case falls back to the pure XGBoost prediction without error.</t>
  </si>
  <si>
    <t>ML-07</t>
  </si>
  <si>
    <t>Unseen category handling</t>
  </si>
  <si>
    <t>POST /estimate with a scheme_name and mukim that do not exist in the training data.</t>
  </si>
  <si>
    <t>Target encoding falls back gracefully (global or district-level statistics); a reasonable estimate is still returned without a crash.</t>
  </si>
  <si>
    <t>ML-08</t>
  </si>
  <si>
    <t>Leakage and feature checks</t>
  </si>
  <si>
    <t>Inspect the inference feature set used by the pipeline for a sample request.</t>
  </si>
  <si>
    <t>price_per_sqm is excluded at inference; engineered features (area_ratio, is_freehold, is_high_rise, cyclical month encoding, district-period rolling median) are computed as designed.</t>
  </si>
  <si>
    <t>ML-09</t>
  </si>
  <si>
    <t>Training reproducibility and versioning</t>
  </si>
  <si>
    <t>Re-run the training pipeline on the NAPIC dataset.</t>
  </si>
  <si>
    <t>Time-based train/test split is applied; MAPE and R2 for XGBoost and the Random Forest comparison are logged; a versioned model file (xgb_erumah_&lt;version&gt;.pkl) is exported and picked up by the API model_version string.</t>
  </si>
  <si>
    <t>ML-10</t>
  </si>
  <si>
    <t>Frontend integration and error handling</t>
  </si>
  <si>
    <t>Use the property calculator UI with the API running, then with the API stopped.</t>
  </si>
  <si>
    <t>With the API up, the RM estimate, bounds and disclaimer render in the UI (CORS permits the request); with the API down, a friendly error message is shown instead of a blank or broken page.</t>
  </si>
  <si>
    <t>NFR &amp; Security</t>
  </si>
  <si>
    <t>Non-functional requirements (NFR1 Performance, NFR2 Usability, NFR3 Security) and cross-cutting verification.</t>
  </si>
  <si>
    <t>NF-01</t>
  </si>
  <si>
    <t>NFR1.1</t>
  </si>
  <si>
    <t>Page load performance</t>
  </si>
  <si>
    <t>Measure load time of the dashboard and health report list with browser dev tools under normal conditions (3 runs each).</t>
  </si>
  <si>
    <t>Every measured page fully loads within 3 seconds.</t>
  </si>
  <si>
    <t>13/07/2026</t>
  </si>
  <si>
    <t>NF-02</t>
  </si>
  <si>
    <t>NFR1.2</t>
  </si>
  <si>
    <t>Upload performance</t>
  </si>
  <si>
    <t>Upload a health report file close to 10 MB on a standard broadband connection and time it.</t>
  </si>
  <si>
    <t>Upload completes within 5 seconds.</t>
  </si>
  <si>
    <t>NF-03</t>
  </si>
  <si>
    <t>NFR1.3</t>
  </si>
  <si>
    <t>Search, filter and sort responsiveness</t>
  </si>
  <si>
    <t>Time representative search, filter and sort operations on the health report and application lists.</t>
  </si>
  <si>
    <t>Results return within 2 seconds of the request.</t>
  </si>
  <si>
    <t>NF-04</t>
  </si>
  <si>
    <t>NFR1.4</t>
  </si>
  <si>
    <t>Report generation time</t>
  </si>
  <si>
    <t>Time the generation of an application analysis PDF.</t>
  </si>
  <si>
    <t>PDF is generated and available for download within 10 seconds.</t>
  </si>
  <si>
    <t>NF-05</t>
  </si>
  <si>
    <t>NFR2.1</t>
  </si>
  <si>
    <t>Typography standards</t>
  </si>
  <si>
    <t>Inspect rendered pages with dev tools across the five modules.</t>
  </si>
  <si>
    <t>Body text is at least 14pt, headings at least 18pt, and the primary typeface is Inter.</t>
  </si>
  <si>
    <t>NF-06</t>
  </si>
  <si>
    <t>NFR2.2</t>
  </si>
  <si>
    <t>Colour and contrast compliance</t>
  </si>
  <si>
    <t>Run a WCAG contrast checker on key screens; verify palette usage.</t>
  </si>
  <si>
    <t>Colour combinations meet WCAG 2.1 AA contrast; the palette of #A8202D, #1F3864 and #FFFFFF is applied consistently.</t>
  </si>
  <si>
    <t>NF-07</t>
  </si>
  <si>
    <t>NFR2.3</t>
  </si>
  <si>
    <t>Plain-language validation messages</t>
  </si>
  <si>
    <t>Review validation messages triggered across the application, enquiry and health report forms.</t>
  </si>
  <si>
    <t>Every message is plain language, names the field in error and states the corrective action.</t>
  </si>
  <si>
    <t>NF-08</t>
  </si>
  <si>
    <t>NFR3.1</t>
  </si>
  <si>
    <t>Authentication and session expiry</t>
  </si>
  <si>
    <t>Access module URLs while logged out; then log in and stay idle for 30 minutes before acting again.</t>
  </si>
  <si>
    <t>Unauthenticated access is redirected to login for every module; after 30 minutes of inactivity the session expires and re-login is required.</t>
  </si>
  <si>
    <t>NF-09</t>
  </si>
  <si>
    <t>NFR3.2</t>
  </si>
  <si>
    <t>Transport encryption</t>
  </si>
  <si>
    <t>Inspect the deployed site's connections in browser dev tools (security tab).</t>
  </si>
  <si>
    <t>All client-server traffic uses HTTPS with TLS 1.2 or higher; no mixed content.</t>
  </si>
  <si>
    <t>NF-10</t>
  </si>
  <si>
    <t>NFR3.3</t>
  </si>
  <si>
    <t>Role-based access control</t>
  </si>
  <si>
    <t>As an elder, attempt admin and support URLs; as support, attempt admin URLs and disbursement modification.</t>
  </si>
  <si>
    <t>Each role can only reach its own module routes; elders access only their own records; support cannot modify disbursement records.</t>
  </si>
  <si>
    <t>NF-11</t>
  </si>
  <si>
    <t>Row-level security (data isolation)</t>
  </si>
  <si>
    <t>Using the browser session of elder A (or the Supabase client with A's token), query health_reports and applications belonging to elder B.</t>
  </si>
  <si>
    <t>RLS policies return no rows or deny the request; one elder can never read another elder's records.</t>
  </si>
  <si>
    <t>NF-12</t>
  </si>
  <si>
    <t>NFR3.4</t>
  </si>
  <si>
    <t>Audit logging</t>
  </si>
  <si>
    <t>Perform a document upload, an application status change, an admin approval and a login; inspect the log records.</t>
  </si>
  <si>
    <t>Each event is logged with the user ID, action type and timestamp.</t>
  </si>
  <si>
    <t>NF-13</t>
  </si>
  <si>
    <t>Elderly-friendly usability</t>
  </si>
  <si>
    <t>Review key user flows on a desktop and a mobile viewport for button size, spacing and readability.</t>
  </si>
  <si>
    <t>Buttons and touch targets are large and pages remain usable and readable on both viewports.</t>
  </si>
  <si>
    <t>NF-14</t>
  </si>
  <si>
    <t>Cross-browser verification</t>
  </si>
  <si>
    <t>Smoke-test login, application wizard, health upload and support chat on Chrome, Edge and Firefox.</t>
  </si>
  <si>
    <t>Core flows work identically on all three browsers with no console errors.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</si>
</sst>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theme="1"/>
      <name val="Calibri"/>
      <scheme val="minor"/>
    </font>
    <font>
      <b/>
      <sz val="16.0"/>
      <color rgb="FFA8202D"/>
      <name val="Arial"/>
    </font>
    <font>
      <sz val="11.0"/>
      <color rgb="FF1F3864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rgb="FF1F3864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4.0"/>
      <color rgb="FFA8202D"/>
      <name val="Arial"/>
    </font>
    <font>
      <i/>
      <sz val="10.0"/>
      <color rgb="FF777778"/>
      <name val="Arial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FFFFFF"/>
        <bgColor rgb="FFFFFFFF"/>
      </patternFill>
    </fill>
    <fill>
      <patternFill patternType="solid">
        <fgColor rgb="FFA8202D"/>
        <bgColor rgb="FFA8202D"/>
      </patternFill>
    </fill>
    <fill>
      <patternFill patternType="solid">
        <fgColor rgb="FFEDEDED"/>
        <bgColor rgb="FFEDEDED"/>
      </patternFill>
    </fill>
    <fill>
      <patternFill patternType="solid">
        <fgColor rgb="FFF5F5F5"/>
        <bgColor rgb="FFF5F5F5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 shrinkToFit="0" vertical="center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9" xfId="0" applyAlignment="1" applyBorder="1" applyFont="1" applyNumberFormat="1">
      <alignment horizontal="center"/>
    </xf>
    <xf borderId="1" fillId="8" fontId="3" numFmtId="0" xfId="0" applyBorder="1" applyFill="1" applyFont="1"/>
    <xf borderId="1" fillId="8" fontId="3" numFmtId="0" xfId="0" applyAlignment="1" applyBorder="1" applyFont="1">
      <alignment horizontal="center"/>
    </xf>
    <xf borderId="1" fillId="8" fontId="3" numFmtId="9" xfId="0" applyAlignment="1" applyBorder="1" applyFont="1" applyNumberFormat="1">
      <alignment horizontal="center"/>
    </xf>
    <xf borderId="2" fillId="0" fontId="7" numFmtId="0" xfId="0" applyBorder="1" applyFont="1"/>
    <xf borderId="0" fillId="0" fontId="8" numFmtId="0" xfId="0" applyFont="1"/>
    <xf borderId="0" fillId="0" fontId="9" numFmtId="0" xfId="0" applyFont="1"/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horizontal="left" shrinkToFit="0" vertical="top" wrapText="1"/>
    </xf>
    <xf borderId="1" fillId="0" fontId="4" numFmtId="164" xfId="0" applyAlignment="1" applyBorder="1" applyFont="1" applyNumberFormat="1">
      <alignment horizontal="center" vertical="top"/>
    </xf>
    <xf borderId="1" fillId="9" fontId="4" numFmtId="0" xfId="0" applyAlignment="1" applyBorder="1" applyFill="1" applyFont="1">
      <alignment horizontal="center" vertical="top"/>
    </xf>
    <xf borderId="1" fillId="9" fontId="4" numFmtId="0" xfId="0" applyAlignment="1" applyBorder="1" applyFont="1">
      <alignment horizontal="left" shrinkToFit="0" vertical="top" wrapText="1"/>
    </xf>
    <xf borderId="1" fillId="9" fontId="4" numFmtId="164" xfId="0" applyAlignment="1" applyBorder="1" applyFont="1" applyNumberFormat="1">
      <alignment horizontal="center" vertical="top"/>
    </xf>
    <xf borderId="1" fillId="0" fontId="4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vertical="top"/>
    </xf>
    <xf borderId="1" fillId="9" fontId="4" numFmtId="0" xfId="0" applyAlignment="1" applyBorder="1" applyFont="1">
      <alignment horizontal="center" readingOrder="0" vertical="top"/>
    </xf>
  </cellXfs>
  <cellStyles count="1">
    <cellStyle xfId="0" name="Normal" builtinId="0"/>
  </cellStyles>
  <dxfs count="4"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sz val="10.0"/>
        <color rgb="FF974706"/>
        <name val="Arial"/>
      </font>
      <fill>
        <patternFill patternType="solid">
          <fgColor rgb="FFFCD5B4"/>
          <bgColor rgb="FFFCD5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2.0"/>
    <col customWidth="1" min="3" max="6" width="12.0"/>
    <col customWidth="1" min="7" max="7" width="13.0"/>
    <col customWidth="1" min="8" max="9" width="12.0"/>
    <col customWidth="1" min="10" max="10" width="19.0"/>
  </cols>
  <sheetData>
    <row r="2" ht="21.0" customHeight="1">
      <c r="B2" s="1" t="s">
        <v>0</v>
      </c>
    </row>
    <row r="3" ht="14.25" customHeight="1">
      <c r="B3" s="2" t="s">
        <v>1</v>
      </c>
    </row>
    <row r="5" ht="14.25" customHeight="1">
      <c r="B5" s="3" t="s">
        <v>2</v>
      </c>
      <c r="C5" s="4" t="s">
        <v>3</v>
      </c>
    </row>
    <row r="6" ht="14.25" customHeight="1">
      <c r="B6" s="3" t="s">
        <v>4</v>
      </c>
      <c r="C6" s="4" t="s">
        <v>5</v>
      </c>
    </row>
    <row r="7" ht="14.25" customHeight="1">
      <c r="B7" s="3" t="s">
        <v>6</v>
      </c>
      <c r="C7" s="4" t="s">
        <v>7</v>
      </c>
    </row>
    <row r="8" ht="14.25" customHeight="1">
      <c r="B8" s="3" t="s">
        <v>8</v>
      </c>
      <c r="C8" s="4" t="s">
        <v>9</v>
      </c>
    </row>
    <row r="9" ht="14.25" customHeight="1">
      <c r="B9" s="3" t="s">
        <v>10</v>
      </c>
      <c r="C9" s="4" t="s">
        <v>11</v>
      </c>
    </row>
    <row r="11" ht="15.0" customHeight="1">
      <c r="B11" s="5" t="s">
        <v>12</v>
      </c>
    </row>
    <row r="12" ht="14.25" customHeight="1">
      <c r="B12" s="4" t="s">
        <v>13</v>
      </c>
    </row>
    <row r="13" ht="14.25" customHeight="1">
      <c r="B13" s="4" t="s">
        <v>14</v>
      </c>
      <c r="C13" s="4"/>
      <c r="D13" s="4"/>
      <c r="E13" s="4"/>
      <c r="F13" s="4"/>
      <c r="G13" s="4"/>
      <c r="H13" s="4"/>
      <c r="I13" s="4"/>
    </row>
    <row r="14" ht="14.25" customHeight="1">
      <c r="B14" s="4" t="s">
        <v>15</v>
      </c>
    </row>
    <row r="15" ht="14.25" customHeight="1">
      <c r="B15" s="4" t="s">
        <v>16</v>
      </c>
    </row>
    <row r="16" ht="14.25" customHeight="1">
      <c r="B16" s="4" t="s">
        <v>17</v>
      </c>
    </row>
    <row r="18" ht="15.0" customHeight="1">
      <c r="B18" s="5" t="s">
        <v>18</v>
      </c>
    </row>
    <row r="19" ht="14.25" customHeight="1">
      <c r="B19" s="6" t="s">
        <v>19</v>
      </c>
      <c r="C19" s="4" t="s">
        <v>20</v>
      </c>
    </row>
    <row r="20" ht="14.25" customHeight="1">
      <c r="B20" s="7" t="s">
        <v>21</v>
      </c>
      <c r="C20" s="4" t="s">
        <v>22</v>
      </c>
    </row>
    <row r="21" ht="15.75" customHeight="1">
      <c r="B21" s="8" t="s">
        <v>23</v>
      </c>
      <c r="C21" s="4" t="s">
        <v>24</v>
      </c>
    </row>
    <row r="22" ht="15.75" customHeight="1">
      <c r="B22" s="9" t="s">
        <v>25</v>
      </c>
      <c r="C22" s="4" t="s">
        <v>26</v>
      </c>
    </row>
    <row r="23" ht="15.75" customHeight="1">
      <c r="B23" s="10" t="s">
        <v>27</v>
      </c>
      <c r="C23" s="4" t="s">
        <v>28</v>
      </c>
    </row>
    <row r="24" ht="15.75" customHeight="1"/>
    <row r="25" ht="15.75" customHeight="1">
      <c r="B25" s="5" t="s">
        <v>29</v>
      </c>
    </row>
    <row r="26" ht="24.0" customHeight="1">
      <c r="B26" s="11" t="s">
        <v>30</v>
      </c>
      <c r="C26" s="11" t="s">
        <v>31</v>
      </c>
      <c r="D26" s="11" t="s">
        <v>19</v>
      </c>
      <c r="E26" s="11" t="s">
        <v>21</v>
      </c>
      <c r="F26" s="11" t="s">
        <v>23</v>
      </c>
      <c r="G26" s="11" t="s">
        <v>25</v>
      </c>
      <c r="H26" s="11" t="s">
        <v>27</v>
      </c>
      <c r="I26" s="11" t="s">
        <v>32</v>
      </c>
      <c r="J26" s="11" t="s">
        <v>33</v>
      </c>
    </row>
    <row r="27" ht="15.75" customHeight="1">
      <c r="B27" s="12" t="s">
        <v>34</v>
      </c>
      <c r="C27" s="13">
        <f>COUNTA('1. Health Monitoring'!$A$5:$A$25)</f>
        <v>21</v>
      </c>
      <c r="D27" s="13">
        <f>COUNTIF('1. Health Monitoring'!$F$5:$F$25,"Pass")</f>
        <v>20</v>
      </c>
      <c r="E27" s="13">
        <f>COUNTIF('1. Health Monitoring'!$F$5:$F$25,"Fail")</f>
        <v>0</v>
      </c>
      <c r="F27" s="13">
        <f>COUNTIF('1. Health Monitoring'!$F$5:$F$25,"Partial")</f>
        <v>0</v>
      </c>
      <c r="G27" s="13">
        <f>COUNTIF('1. Health Monitoring'!$F$5:$F$25,"Blocked")</f>
        <v>0</v>
      </c>
      <c r="H27" s="13">
        <f>COUNTIF('1. Health Monitoring'!$F$5:$F$25,"Not Tested")</f>
        <v>1</v>
      </c>
      <c r="I27" s="14">
        <f t="shared" ref="I27:I34" si="1">IF(C27=0,0,(C27-H27)/C27)</f>
        <v>0.9523809524</v>
      </c>
      <c r="J27" s="13" t="str">
        <f>COUNTIF('1. Health Monitoring'!$I$5:$I$25,"Yes")&amp;" / "&amp;C27</f>
        <v>20 / 21</v>
      </c>
    </row>
    <row r="28" ht="15.75" customHeight="1">
      <c r="B28" s="12" t="s">
        <v>35</v>
      </c>
      <c r="C28" s="13">
        <f>COUNTA('2. Application Mgmt'!$A$5:$A$25)</f>
        <v>21</v>
      </c>
      <c r="D28" s="13">
        <f>COUNTIF('2. Application Mgmt'!$F$5:$F$25,"Pass")</f>
        <v>19</v>
      </c>
      <c r="E28" s="13">
        <f>COUNTIF('2. Application Mgmt'!$F$5:$F$25,"Fail")</f>
        <v>0</v>
      </c>
      <c r="F28" s="13">
        <f>COUNTIF('2. Application Mgmt'!$F$5:$F$25,"Partial")</f>
        <v>0</v>
      </c>
      <c r="G28" s="13">
        <f>COUNTIF('2. Application Mgmt'!$F$5:$F$25,"Blocked")</f>
        <v>0</v>
      </c>
      <c r="H28" s="13">
        <f>COUNTIF('2. Application Mgmt'!$F$5:$F$25,"Not Tested")</f>
        <v>2</v>
      </c>
      <c r="I28" s="14">
        <f t="shared" si="1"/>
        <v>0.9047619048</v>
      </c>
      <c r="J28" s="13" t="str">
        <f>COUNTIF('2. Application Mgmt'!$I$5:$I$25,"Yes")&amp;" / "&amp;C28</f>
        <v>18 / 21</v>
      </c>
    </row>
    <row r="29" ht="15.75" customHeight="1">
      <c r="B29" s="12" t="s">
        <v>36</v>
      </c>
      <c r="C29" s="13">
        <f>COUNTA('3. Customer Support'!$A$5:$A$18)</f>
        <v>14</v>
      </c>
      <c r="D29" s="13">
        <f>COUNTIF('3. Customer Support'!$F$5:$F$18,"Pass")</f>
        <v>14</v>
      </c>
      <c r="E29" s="13">
        <f>COUNTIF('3. Customer Support'!$F$5:$F$18,"Fail")</f>
        <v>0</v>
      </c>
      <c r="F29" s="13">
        <f>COUNTIF('3. Customer Support'!$F$5:$F$18,"Partial")</f>
        <v>0</v>
      </c>
      <c r="G29" s="13">
        <f>COUNTIF('3. Customer Support'!$F$5:$F$18,"Blocked")</f>
        <v>0</v>
      </c>
      <c r="H29" s="13">
        <f>COUNTIF('3. Customer Support'!$F$5:$F$18,"Not Tested")</f>
        <v>0</v>
      </c>
      <c r="I29" s="14">
        <f t="shared" si="1"/>
        <v>1</v>
      </c>
      <c r="J29" s="13" t="str">
        <f>COUNTIF('3. Customer Support'!$I$5:$I$18,"Yes")&amp;" / "&amp;C29</f>
        <v>14 / 14</v>
      </c>
    </row>
    <row r="30" ht="15.75" customHeight="1">
      <c r="B30" s="12" t="s">
        <v>37</v>
      </c>
      <c r="C30" s="13">
        <f>COUNTA('4. Administrative'!$A$5:$A$17)</f>
        <v>13</v>
      </c>
      <c r="D30" s="13">
        <f>COUNTIF('4. Administrative'!$F$5:$F$17,"Pass")</f>
        <v>13</v>
      </c>
      <c r="E30" s="13">
        <f>COUNTIF('4. Administrative'!$F$5:$F$17,"Fail")</f>
        <v>0</v>
      </c>
      <c r="F30" s="13">
        <f>COUNTIF('4. Administrative'!$F$5:$F$17,"Partial")</f>
        <v>0</v>
      </c>
      <c r="G30" s="13">
        <f>COUNTIF('4. Administrative'!$F$5:$F$17,"Blocked")</f>
        <v>0</v>
      </c>
      <c r="H30" s="13">
        <f>COUNTIF('4. Administrative'!$F$5:$F$17,"Not Tested")</f>
        <v>0</v>
      </c>
      <c r="I30" s="14">
        <f t="shared" si="1"/>
        <v>1</v>
      </c>
      <c r="J30" s="13" t="str">
        <f>COUNTIF('4. Administrative'!$I$5:$I$17,"Yes")&amp;" / "&amp;C30</f>
        <v>12 / 13</v>
      </c>
    </row>
    <row r="31" ht="15.75" customHeight="1">
      <c r="B31" s="12" t="s">
        <v>38</v>
      </c>
      <c r="C31" s="13">
        <f>COUNTA('5. User Management'!$A$5:$A$21)</f>
        <v>17</v>
      </c>
      <c r="D31" s="13">
        <f>COUNTIF('5. User Management'!$F$5:$F$21,"Pass")</f>
        <v>14</v>
      </c>
      <c r="E31" s="13">
        <f>COUNTIF('5. User Management'!$F$5:$F$21,"Fail")</f>
        <v>0</v>
      </c>
      <c r="F31" s="13">
        <f>COUNTIF('5. User Management'!$F$5:$F$21,"Partial")</f>
        <v>1</v>
      </c>
      <c r="G31" s="13">
        <f>COUNTIF('5. User Management'!$F$5:$F$21,"Blocked")</f>
        <v>0</v>
      </c>
      <c r="H31" s="13">
        <f>COUNTIF('5. User Management'!$F$5:$F$21,"Not Tested")</f>
        <v>2</v>
      </c>
      <c r="I31" s="14">
        <f t="shared" si="1"/>
        <v>0.8823529412</v>
      </c>
      <c r="J31" s="13" t="str">
        <f>COUNTIF('5. User Management'!$I$5:$I$21,"Yes")&amp;" / "&amp;C31</f>
        <v>10 / 17</v>
      </c>
    </row>
    <row r="32" ht="15.75" customHeight="1">
      <c r="B32" s="12" t="s">
        <v>39</v>
      </c>
      <c r="C32" s="13">
        <f>COUNTA('6. ML Estimator API'!$A$5:$A$14)</f>
        <v>10</v>
      </c>
      <c r="D32" s="13">
        <f>COUNTIF('6. ML Estimator API'!$F$5:$F$14,"Pass")</f>
        <v>10</v>
      </c>
      <c r="E32" s="13">
        <f>COUNTIF('6. ML Estimator API'!$F$5:$F$14,"Fail")</f>
        <v>0</v>
      </c>
      <c r="F32" s="13">
        <f>COUNTIF('6. ML Estimator API'!$F$5:$F$14,"Partial")</f>
        <v>0</v>
      </c>
      <c r="G32" s="13">
        <f>COUNTIF('6. ML Estimator API'!$F$5:$F$14,"Blocked")</f>
        <v>0</v>
      </c>
      <c r="H32" s="13">
        <f>COUNTIF('6. ML Estimator API'!$F$5:$F$14,"Not Tested")</f>
        <v>0</v>
      </c>
      <c r="I32" s="14">
        <f t="shared" si="1"/>
        <v>1</v>
      </c>
      <c r="J32" s="13" t="str">
        <f>COUNTIF('6. ML Estimator API'!$I$5:$I$14,"Yes")&amp;" / "&amp;C32</f>
        <v>10 / 10</v>
      </c>
    </row>
    <row r="33" ht="15.75" customHeight="1">
      <c r="B33" s="12" t="s">
        <v>40</v>
      </c>
      <c r="C33" s="13">
        <f>COUNTA('7. NFR &amp; Security'!$A$5:$A$18)</f>
        <v>14</v>
      </c>
      <c r="D33" s="13">
        <f>COUNTIF('7. NFR &amp; Security'!$F$5:$F$18,"Pass")</f>
        <v>13</v>
      </c>
      <c r="E33" s="13">
        <f>COUNTIF('7. NFR &amp; Security'!$F$5:$F$18,"Fail")</f>
        <v>0</v>
      </c>
      <c r="F33" s="13">
        <f>COUNTIF('7. NFR &amp; Security'!$F$5:$F$18,"Partial")</f>
        <v>1</v>
      </c>
      <c r="G33" s="13">
        <f>COUNTIF('7. NFR &amp; Security'!$F$5:$F$18,"Blocked")</f>
        <v>0</v>
      </c>
      <c r="H33" s="13">
        <f>COUNTIF('7. NFR &amp; Security'!$F$5:$F$18,"Not Tested")</f>
        <v>0</v>
      </c>
      <c r="I33" s="14">
        <f t="shared" si="1"/>
        <v>1</v>
      </c>
      <c r="J33" s="13" t="str">
        <f>COUNTIF('7. NFR &amp; Security'!$I$5:$I$18,"Yes")&amp;" / "&amp;C33</f>
        <v>14 / 14</v>
      </c>
    </row>
    <row r="34" ht="15.75" customHeight="1">
      <c r="B34" s="15" t="s">
        <v>41</v>
      </c>
      <c r="C34" s="16">
        <f t="shared" ref="C34:H34" si="2">SUM(C27:C33)</f>
        <v>110</v>
      </c>
      <c r="D34" s="16">
        <f t="shared" si="2"/>
        <v>103</v>
      </c>
      <c r="E34" s="16">
        <f t="shared" si="2"/>
        <v>0</v>
      </c>
      <c r="F34" s="16">
        <f t="shared" si="2"/>
        <v>2</v>
      </c>
      <c r="G34" s="16">
        <f t="shared" si="2"/>
        <v>0</v>
      </c>
      <c r="H34" s="16">
        <f t="shared" si="2"/>
        <v>5</v>
      </c>
      <c r="I34" s="17">
        <f t="shared" si="1"/>
        <v>0.9545454545</v>
      </c>
      <c r="J34" s="16"/>
    </row>
    <row r="35" ht="15.75" customHeight="1"/>
    <row r="36" ht="15.75" customHeight="1"/>
    <row r="37" ht="15.75" customHeight="1">
      <c r="B37" s="5" t="s">
        <v>42</v>
      </c>
    </row>
    <row r="38" ht="15.75" customHeight="1"/>
    <row r="39" ht="15.75" customHeight="1">
      <c r="B39" s="3" t="s">
        <v>43</v>
      </c>
      <c r="C39" s="4" t="s">
        <v>44</v>
      </c>
      <c r="D39" s="18"/>
      <c r="E39" s="18"/>
      <c r="G39" s="4" t="s">
        <v>45</v>
      </c>
      <c r="H39" s="18"/>
    </row>
    <row r="40" ht="15.75" customHeight="1"/>
    <row r="41" ht="15.75" customHeight="1">
      <c r="B41" s="3" t="s">
        <v>46</v>
      </c>
      <c r="C41" s="4" t="s">
        <v>44</v>
      </c>
      <c r="D41" s="18"/>
      <c r="E41" s="18"/>
      <c r="G41" s="4" t="s">
        <v>45</v>
      </c>
      <c r="H41" s="1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2:I12"/>
    <mergeCell ref="B14:I14"/>
    <mergeCell ref="B15:I15"/>
    <mergeCell ref="B16:I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47</v>
      </c>
    </row>
    <row r="2" ht="15.75" customHeight="1">
      <c r="A2" s="20" t="s">
        <v>48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57</v>
      </c>
      <c r="B5" s="21" t="s">
        <v>58</v>
      </c>
      <c r="C5" s="22" t="s">
        <v>59</v>
      </c>
      <c r="D5" s="22" t="s">
        <v>60</v>
      </c>
      <c r="E5" s="22" t="s">
        <v>61</v>
      </c>
      <c r="F5" s="21" t="s">
        <v>19</v>
      </c>
      <c r="G5" s="22"/>
      <c r="H5" s="23">
        <v>46213.0</v>
      </c>
      <c r="I5" s="21" t="s">
        <v>62</v>
      </c>
    </row>
    <row r="6" ht="48.75" customHeight="1">
      <c r="A6" s="24" t="s">
        <v>63</v>
      </c>
      <c r="B6" s="24" t="s">
        <v>58</v>
      </c>
      <c r="C6" s="25" t="s">
        <v>64</v>
      </c>
      <c r="D6" s="25" t="s">
        <v>65</v>
      </c>
      <c r="E6" s="25" t="s">
        <v>66</v>
      </c>
      <c r="F6" s="24" t="s">
        <v>19</v>
      </c>
      <c r="G6" s="25"/>
      <c r="H6" s="23">
        <v>46213.0</v>
      </c>
      <c r="I6" s="24" t="s">
        <v>62</v>
      </c>
    </row>
    <row r="7" ht="48.75" customHeight="1">
      <c r="A7" s="21" t="s">
        <v>67</v>
      </c>
      <c r="B7" s="21" t="s">
        <v>68</v>
      </c>
      <c r="C7" s="22" t="s">
        <v>69</v>
      </c>
      <c r="D7" s="22" t="s">
        <v>70</v>
      </c>
      <c r="E7" s="22" t="s">
        <v>71</v>
      </c>
      <c r="F7" s="21" t="s">
        <v>19</v>
      </c>
      <c r="G7" s="22"/>
      <c r="H7" s="23">
        <v>46213.0</v>
      </c>
      <c r="I7" s="21" t="s">
        <v>62</v>
      </c>
    </row>
    <row r="8" ht="33.75" customHeight="1">
      <c r="A8" s="24" t="s">
        <v>72</v>
      </c>
      <c r="B8" s="24" t="s">
        <v>73</v>
      </c>
      <c r="C8" s="25" t="s">
        <v>74</v>
      </c>
      <c r="D8" s="25" t="s">
        <v>75</v>
      </c>
      <c r="E8" s="25" t="s">
        <v>76</v>
      </c>
      <c r="F8" s="24" t="s">
        <v>19</v>
      </c>
      <c r="G8" s="25"/>
      <c r="H8" s="23">
        <v>46213.0</v>
      </c>
      <c r="I8" s="24" t="s">
        <v>62</v>
      </c>
    </row>
    <row r="9" ht="48.75" customHeight="1">
      <c r="A9" s="21" t="s">
        <v>77</v>
      </c>
      <c r="B9" s="21" t="s">
        <v>78</v>
      </c>
      <c r="C9" s="22" t="s">
        <v>79</v>
      </c>
      <c r="D9" s="22" t="s">
        <v>80</v>
      </c>
      <c r="E9" s="22" t="s">
        <v>81</v>
      </c>
      <c r="F9" s="21" t="s">
        <v>19</v>
      </c>
      <c r="G9" s="22"/>
      <c r="H9" s="23">
        <v>46213.0</v>
      </c>
      <c r="I9" s="21" t="s">
        <v>62</v>
      </c>
    </row>
    <row r="10" ht="48.75" customHeight="1">
      <c r="A10" s="24" t="s">
        <v>82</v>
      </c>
      <c r="B10" s="24" t="s">
        <v>83</v>
      </c>
      <c r="C10" s="25" t="s">
        <v>84</v>
      </c>
      <c r="D10" s="25" t="s">
        <v>85</v>
      </c>
      <c r="E10" s="25" t="s">
        <v>86</v>
      </c>
      <c r="F10" s="24" t="s">
        <v>19</v>
      </c>
      <c r="G10" s="25"/>
      <c r="H10" s="23">
        <v>46213.0</v>
      </c>
      <c r="I10" s="24" t="s">
        <v>62</v>
      </c>
    </row>
    <row r="11" ht="33.75" customHeight="1">
      <c r="A11" s="21" t="s">
        <v>87</v>
      </c>
      <c r="B11" s="21" t="s">
        <v>88</v>
      </c>
      <c r="C11" s="22" t="s">
        <v>89</v>
      </c>
      <c r="D11" s="22" t="s">
        <v>90</v>
      </c>
      <c r="E11" s="22" t="s">
        <v>91</v>
      </c>
      <c r="F11" s="21" t="s">
        <v>27</v>
      </c>
      <c r="G11" s="22" t="s">
        <v>92</v>
      </c>
      <c r="H11" s="23">
        <v>46213.0</v>
      </c>
      <c r="I11" s="21"/>
    </row>
    <row r="12" ht="33.75" customHeight="1">
      <c r="A12" s="24" t="s">
        <v>93</v>
      </c>
      <c r="B12" s="24" t="s">
        <v>94</v>
      </c>
      <c r="C12" s="25" t="s">
        <v>95</v>
      </c>
      <c r="D12" s="25" t="s">
        <v>96</v>
      </c>
      <c r="E12" s="25" t="s">
        <v>97</v>
      </c>
      <c r="F12" s="24" t="s">
        <v>19</v>
      </c>
      <c r="G12" s="25"/>
      <c r="H12" s="23">
        <v>46213.0</v>
      </c>
      <c r="I12" s="24" t="s">
        <v>62</v>
      </c>
    </row>
    <row r="13" ht="48.75" customHeight="1">
      <c r="A13" s="21" t="s">
        <v>98</v>
      </c>
      <c r="B13" s="21" t="s">
        <v>99</v>
      </c>
      <c r="C13" s="22" t="s">
        <v>100</v>
      </c>
      <c r="D13" s="22" t="s">
        <v>101</v>
      </c>
      <c r="E13" s="22" t="s">
        <v>102</v>
      </c>
      <c r="F13" s="21" t="s">
        <v>19</v>
      </c>
      <c r="G13" s="22"/>
      <c r="H13" s="23">
        <v>46213.0</v>
      </c>
      <c r="I13" s="21" t="s">
        <v>62</v>
      </c>
    </row>
    <row r="14" ht="48.75" customHeight="1">
      <c r="A14" s="24" t="s">
        <v>103</v>
      </c>
      <c r="B14" s="24" t="s">
        <v>99</v>
      </c>
      <c r="C14" s="25" t="s">
        <v>104</v>
      </c>
      <c r="D14" s="25" t="s">
        <v>105</v>
      </c>
      <c r="E14" s="25" t="s">
        <v>106</v>
      </c>
      <c r="F14" s="24" t="s">
        <v>19</v>
      </c>
      <c r="G14" s="25"/>
      <c r="H14" s="23">
        <v>46213.0</v>
      </c>
      <c r="I14" s="24" t="s">
        <v>62</v>
      </c>
    </row>
    <row r="15" ht="33.75" customHeight="1">
      <c r="A15" s="21" t="s">
        <v>107</v>
      </c>
      <c r="B15" s="21" t="s">
        <v>99</v>
      </c>
      <c r="C15" s="22" t="s">
        <v>108</v>
      </c>
      <c r="D15" s="22" t="s">
        <v>109</v>
      </c>
      <c r="E15" s="22" t="s">
        <v>110</v>
      </c>
      <c r="F15" s="21" t="s">
        <v>19</v>
      </c>
      <c r="G15" s="22"/>
      <c r="H15" s="23">
        <v>46213.0</v>
      </c>
      <c r="I15" s="21" t="s">
        <v>62</v>
      </c>
    </row>
    <row r="16" ht="48.75" customHeight="1">
      <c r="A16" s="24" t="s">
        <v>111</v>
      </c>
      <c r="B16" s="24" t="s">
        <v>112</v>
      </c>
      <c r="C16" s="25" t="s">
        <v>113</v>
      </c>
      <c r="D16" s="25" t="s">
        <v>114</v>
      </c>
      <c r="E16" s="25" t="s">
        <v>115</v>
      </c>
      <c r="F16" s="24" t="s">
        <v>19</v>
      </c>
      <c r="G16" s="25"/>
      <c r="H16" s="23">
        <v>46213.0</v>
      </c>
      <c r="I16" s="24" t="s">
        <v>62</v>
      </c>
    </row>
    <row r="17" ht="33.75" customHeight="1">
      <c r="A17" s="21" t="s">
        <v>116</v>
      </c>
      <c r="B17" s="21" t="s">
        <v>117</v>
      </c>
      <c r="C17" s="22" t="s">
        <v>118</v>
      </c>
      <c r="D17" s="22" t="s">
        <v>119</v>
      </c>
      <c r="E17" s="22" t="s">
        <v>120</v>
      </c>
      <c r="F17" s="21" t="s">
        <v>19</v>
      </c>
      <c r="G17" s="22"/>
      <c r="H17" s="23">
        <v>46213.0</v>
      </c>
      <c r="I17" s="21" t="s">
        <v>62</v>
      </c>
    </row>
    <row r="18" ht="48.75" customHeight="1">
      <c r="A18" s="24" t="s">
        <v>121</v>
      </c>
      <c r="B18" s="24" t="s">
        <v>122</v>
      </c>
      <c r="C18" s="25" t="s">
        <v>123</v>
      </c>
      <c r="D18" s="25" t="s">
        <v>124</v>
      </c>
      <c r="E18" s="25" t="s">
        <v>125</v>
      </c>
      <c r="F18" s="24" t="s">
        <v>19</v>
      </c>
      <c r="G18" s="25"/>
      <c r="H18" s="23">
        <v>46213.0</v>
      </c>
      <c r="I18" s="24" t="s">
        <v>62</v>
      </c>
    </row>
    <row r="19" ht="33.75" customHeight="1">
      <c r="A19" s="21" t="s">
        <v>126</v>
      </c>
      <c r="B19" s="21" t="s">
        <v>127</v>
      </c>
      <c r="C19" s="22" t="s">
        <v>128</v>
      </c>
      <c r="D19" s="22" t="s">
        <v>129</v>
      </c>
      <c r="E19" s="22" t="s">
        <v>130</v>
      </c>
      <c r="F19" s="21" t="s">
        <v>19</v>
      </c>
      <c r="G19" s="22"/>
      <c r="H19" s="23">
        <v>46213.0</v>
      </c>
      <c r="I19" s="21" t="s">
        <v>62</v>
      </c>
    </row>
    <row r="20" ht="48.75" customHeight="1">
      <c r="A20" s="24" t="s">
        <v>131</v>
      </c>
      <c r="B20" s="24" t="s">
        <v>132</v>
      </c>
      <c r="C20" s="25" t="s">
        <v>133</v>
      </c>
      <c r="D20" s="25" t="s">
        <v>134</v>
      </c>
      <c r="E20" s="25" t="s">
        <v>135</v>
      </c>
      <c r="F20" s="24" t="s">
        <v>19</v>
      </c>
      <c r="G20" s="25"/>
      <c r="H20" s="23">
        <v>46213.0</v>
      </c>
      <c r="I20" s="24" t="s">
        <v>62</v>
      </c>
    </row>
    <row r="21" ht="48.75" customHeight="1">
      <c r="A21" s="21" t="s">
        <v>136</v>
      </c>
      <c r="B21" s="21" t="s">
        <v>137</v>
      </c>
      <c r="C21" s="22" t="s">
        <v>138</v>
      </c>
      <c r="D21" s="22" t="s">
        <v>139</v>
      </c>
      <c r="E21" s="22" t="s">
        <v>140</v>
      </c>
      <c r="F21" s="21" t="s">
        <v>19</v>
      </c>
      <c r="G21" s="22"/>
      <c r="H21" s="23">
        <v>46213.0</v>
      </c>
      <c r="I21" s="21" t="s">
        <v>62</v>
      </c>
    </row>
    <row r="22" ht="33.75" customHeight="1">
      <c r="A22" s="24" t="s">
        <v>141</v>
      </c>
      <c r="B22" s="24" t="s">
        <v>142</v>
      </c>
      <c r="C22" s="25" t="s">
        <v>143</v>
      </c>
      <c r="D22" s="25" t="s">
        <v>144</v>
      </c>
      <c r="E22" s="25" t="s">
        <v>145</v>
      </c>
      <c r="F22" s="24" t="s">
        <v>19</v>
      </c>
      <c r="G22" s="25"/>
      <c r="H22" s="23">
        <v>46213.0</v>
      </c>
      <c r="I22" s="24" t="s">
        <v>62</v>
      </c>
    </row>
    <row r="23" ht="48.75" customHeight="1">
      <c r="A23" s="21" t="s">
        <v>146</v>
      </c>
      <c r="B23" s="21" t="s">
        <v>147</v>
      </c>
      <c r="C23" s="22" t="s">
        <v>148</v>
      </c>
      <c r="D23" s="22" t="s">
        <v>149</v>
      </c>
      <c r="E23" s="22" t="s">
        <v>150</v>
      </c>
      <c r="F23" s="21" t="s">
        <v>19</v>
      </c>
      <c r="G23" s="22"/>
      <c r="H23" s="23">
        <v>46213.0</v>
      </c>
      <c r="I23" s="21" t="s">
        <v>62</v>
      </c>
    </row>
    <row r="24" ht="75.0" customHeight="1">
      <c r="A24" s="21" t="s">
        <v>151</v>
      </c>
      <c r="B24" s="21" t="s">
        <v>58</v>
      </c>
      <c r="C24" s="22" t="s">
        <v>152</v>
      </c>
      <c r="D24" s="22" t="s">
        <v>153</v>
      </c>
      <c r="E24" s="22" t="s">
        <v>154</v>
      </c>
      <c r="F24" s="21" t="s">
        <v>19</v>
      </c>
      <c r="G24" s="22"/>
      <c r="H24" s="23">
        <v>46213.0</v>
      </c>
      <c r="I24" s="21" t="s">
        <v>62</v>
      </c>
    </row>
    <row r="25" ht="75.0" customHeight="1">
      <c r="A25" s="21" t="s">
        <v>155</v>
      </c>
      <c r="B25" s="21" t="s">
        <v>147</v>
      </c>
      <c r="C25" s="22" t="s">
        <v>156</v>
      </c>
      <c r="D25" s="22" t="s">
        <v>157</v>
      </c>
      <c r="E25" s="22" t="s">
        <v>158</v>
      </c>
      <c r="F25" s="21" t="s">
        <v>19</v>
      </c>
      <c r="G25" s="22"/>
      <c r="H25" s="23">
        <v>46213.0</v>
      </c>
      <c r="I25" s="21" t="s">
        <v>62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23"/>
  <mergeCells count="2">
    <mergeCell ref="A1:I1"/>
    <mergeCell ref="A2:I2"/>
  </mergeCells>
  <conditionalFormatting sqref="F5:F25">
    <cfRule type="cellIs" dxfId="0" priority="1" operator="equal">
      <formula>"Pass"</formula>
    </cfRule>
  </conditionalFormatting>
  <conditionalFormatting sqref="F5:F25">
    <cfRule type="cellIs" dxfId="1" priority="2" operator="equal">
      <formula>"Fail"</formula>
    </cfRule>
  </conditionalFormatting>
  <conditionalFormatting sqref="F5:F25">
    <cfRule type="cellIs" dxfId="2" priority="3" operator="equal">
      <formula>"Partial"</formula>
    </cfRule>
  </conditionalFormatting>
  <conditionalFormatting sqref="F5:F25">
    <cfRule type="cellIs" dxfId="3" priority="4" operator="equal">
      <formula>"Blocked"</formula>
    </cfRule>
  </conditionalFormatting>
  <dataValidations>
    <dataValidation type="list" allowBlank="1" sqref="I5:I25">
      <formula1>"Yes,No,N/A"</formula1>
    </dataValidation>
    <dataValidation type="list" allowBlank="1" sqref="F5:F25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159</v>
      </c>
    </row>
    <row r="2" ht="15.75" customHeight="1">
      <c r="A2" s="20" t="s">
        <v>160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78.75" customHeight="1">
      <c r="A5" s="21" t="s">
        <v>161</v>
      </c>
      <c r="B5" s="21" t="s">
        <v>162</v>
      </c>
      <c r="C5" s="22" t="s">
        <v>163</v>
      </c>
      <c r="D5" s="22" t="s">
        <v>164</v>
      </c>
      <c r="E5" s="22" t="s">
        <v>165</v>
      </c>
      <c r="F5" s="21" t="s">
        <v>19</v>
      </c>
      <c r="G5" s="22"/>
      <c r="H5" s="26">
        <v>46213.0</v>
      </c>
      <c r="I5" s="21" t="s">
        <v>62</v>
      </c>
    </row>
    <row r="6" ht="48.75" customHeight="1">
      <c r="A6" s="24" t="s">
        <v>166</v>
      </c>
      <c r="B6" s="24" t="s">
        <v>167</v>
      </c>
      <c r="C6" s="25" t="s">
        <v>168</v>
      </c>
      <c r="D6" s="25" t="s">
        <v>169</v>
      </c>
      <c r="E6" s="25" t="s">
        <v>170</v>
      </c>
      <c r="F6" s="24" t="s">
        <v>19</v>
      </c>
      <c r="G6" s="25"/>
      <c r="H6" s="26">
        <v>46213.0</v>
      </c>
      <c r="I6" s="24" t="s">
        <v>62</v>
      </c>
    </row>
    <row r="7" ht="63.75" customHeight="1">
      <c r="A7" s="21" t="s">
        <v>171</v>
      </c>
      <c r="B7" s="21" t="s">
        <v>172</v>
      </c>
      <c r="C7" s="22" t="s">
        <v>173</v>
      </c>
      <c r="D7" s="22" t="s">
        <v>174</v>
      </c>
      <c r="E7" s="22" t="s">
        <v>175</v>
      </c>
      <c r="F7" s="21" t="s">
        <v>19</v>
      </c>
      <c r="G7" s="22"/>
      <c r="H7" s="26">
        <v>46213.0</v>
      </c>
      <c r="I7" s="21" t="s">
        <v>62</v>
      </c>
    </row>
    <row r="8" ht="48.75" customHeight="1">
      <c r="A8" s="24" t="s">
        <v>176</v>
      </c>
      <c r="B8" s="24" t="s">
        <v>172</v>
      </c>
      <c r="C8" s="25" t="s">
        <v>177</v>
      </c>
      <c r="D8" s="25" t="s">
        <v>178</v>
      </c>
      <c r="E8" s="25" t="s">
        <v>179</v>
      </c>
      <c r="F8" s="24" t="s">
        <v>19</v>
      </c>
      <c r="G8" s="25"/>
      <c r="H8" s="26">
        <v>46213.0</v>
      </c>
      <c r="I8" s="24" t="s">
        <v>62</v>
      </c>
    </row>
    <row r="9" ht="48.75" customHeight="1">
      <c r="A9" s="21" t="s">
        <v>180</v>
      </c>
      <c r="B9" s="21" t="s">
        <v>181</v>
      </c>
      <c r="C9" s="22" t="s">
        <v>182</v>
      </c>
      <c r="D9" s="22" t="s">
        <v>183</v>
      </c>
      <c r="E9" s="22" t="s">
        <v>184</v>
      </c>
      <c r="F9" s="21" t="s">
        <v>19</v>
      </c>
      <c r="G9" s="22"/>
      <c r="H9" s="26">
        <v>46213.0</v>
      </c>
      <c r="I9" s="21" t="s">
        <v>62</v>
      </c>
    </row>
    <row r="10" ht="78.75" customHeight="1">
      <c r="A10" s="24" t="s">
        <v>185</v>
      </c>
      <c r="B10" s="24" t="s">
        <v>186</v>
      </c>
      <c r="C10" s="25" t="s">
        <v>187</v>
      </c>
      <c r="D10" s="25" t="s">
        <v>188</v>
      </c>
      <c r="E10" s="25" t="s">
        <v>189</v>
      </c>
      <c r="F10" s="24" t="s">
        <v>19</v>
      </c>
      <c r="G10" s="25"/>
      <c r="H10" s="26">
        <v>46213.0</v>
      </c>
      <c r="I10" s="24" t="s">
        <v>62</v>
      </c>
    </row>
    <row r="11" ht="48.75" customHeight="1">
      <c r="A11" s="21" t="s">
        <v>190</v>
      </c>
      <c r="B11" s="21" t="s">
        <v>191</v>
      </c>
      <c r="C11" s="22" t="s">
        <v>192</v>
      </c>
      <c r="D11" s="22" t="s">
        <v>193</v>
      </c>
      <c r="E11" s="22" t="s">
        <v>194</v>
      </c>
      <c r="F11" s="21" t="s">
        <v>19</v>
      </c>
      <c r="G11" s="22"/>
      <c r="H11" s="26">
        <v>46213.0</v>
      </c>
      <c r="I11" s="21" t="s">
        <v>62</v>
      </c>
    </row>
    <row r="12" ht="33.75" customHeight="1">
      <c r="A12" s="24" t="s">
        <v>195</v>
      </c>
      <c r="B12" s="24" t="s">
        <v>196</v>
      </c>
      <c r="C12" s="25" t="s">
        <v>197</v>
      </c>
      <c r="D12" s="25" t="s">
        <v>198</v>
      </c>
      <c r="E12" s="25" t="s">
        <v>199</v>
      </c>
      <c r="F12" s="24" t="s">
        <v>19</v>
      </c>
      <c r="G12" s="25"/>
      <c r="H12" s="26">
        <v>46213.0</v>
      </c>
      <c r="I12" s="24" t="s">
        <v>62</v>
      </c>
    </row>
    <row r="13" ht="48.75" customHeight="1">
      <c r="A13" s="21" t="s">
        <v>200</v>
      </c>
      <c r="B13" s="21" t="s">
        <v>201</v>
      </c>
      <c r="C13" s="22" t="s">
        <v>202</v>
      </c>
      <c r="D13" s="22" t="s">
        <v>203</v>
      </c>
      <c r="E13" s="22" t="s">
        <v>204</v>
      </c>
      <c r="F13" s="27" t="s">
        <v>19</v>
      </c>
      <c r="G13" s="22"/>
      <c r="H13" s="26">
        <v>46213.0</v>
      </c>
      <c r="I13" s="21"/>
    </row>
    <row r="14" ht="33.75" customHeight="1">
      <c r="A14" s="24" t="s">
        <v>205</v>
      </c>
      <c r="B14" s="24" t="s">
        <v>206</v>
      </c>
      <c r="C14" s="25" t="s">
        <v>207</v>
      </c>
      <c r="D14" s="25" t="s">
        <v>208</v>
      </c>
      <c r="E14" s="25" t="s">
        <v>209</v>
      </c>
      <c r="F14" s="24" t="s">
        <v>19</v>
      </c>
      <c r="G14" s="25"/>
      <c r="H14" s="26">
        <v>46213.0</v>
      </c>
      <c r="I14" s="24" t="s">
        <v>62</v>
      </c>
    </row>
    <row r="15" ht="48.75" customHeight="1">
      <c r="A15" s="21" t="s">
        <v>210</v>
      </c>
      <c r="B15" s="21" t="s">
        <v>211</v>
      </c>
      <c r="C15" s="22" t="s">
        <v>212</v>
      </c>
      <c r="D15" s="22" t="s">
        <v>213</v>
      </c>
      <c r="E15" s="22" t="s">
        <v>214</v>
      </c>
      <c r="F15" s="21" t="s">
        <v>19</v>
      </c>
      <c r="G15" s="22"/>
      <c r="H15" s="26">
        <v>46213.0</v>
      </c>
      <c r="I15" s="21" t="s">
        <v>62</v>
      </c>
    </row>
    <row r="16" ht="48.75" customHeight="1">
      <c r="A16" s="24" t="s">
        <v>215</v>
      </c>
      <c r="B16" s="24" t="s">
        <v>216</v>
      </c>
      <c r="C16" s="25" t="s">
        <v>217</v>
      </c>
      <c r="D16" s="25" t="s">
        <v>218</v>
      </c>
      <c r="E16" s="25" t="s">
        <v>219</v>
      </c>
      <c r="F16" s="24" t="s">
        <v>27</v>
      </c>
      <c r="G16" s="25"/>
      <c r="H16" s="26">
        <v>46213.0</v>
      </c>
      <c r="I16" s="24"/>
    </row>
    <row r="17" ht="33.75" customHeight="1">
      <c r="A17" s="21" t="s">
        <v>220</v>
      </c>
      <c r="B17" s="21" t="s">
        <v>221</v>
      </c>
      <c r="C17" s="22" t="s">
        <v>222</v>
      </c>
      <c r="D17" s="22" t="s">
        <v>223</v>
      </c>
      <c r="E17" s="22" t="s">
        <v>224</v>
      </c>
      <c r="F17" s="21" t="s">
        <v>27</v>
      </c>
      <c r="G17" s="22"/>
      <c r="H17" s="26">
        <v>46213.0</v>
      </c>
      <c r="I17" s="21"/>
    </row>
    <row r="18" ht="33.75" customHeight="1">
      <c r="A18" s="24" t="s">
        <v>225</v>
      </c>
      <c r="B18" s="24" t="s">
        <v>147</v>
      </c>
      <c r="C18" s="25" t="s">
        <v>226</v>
      </c>
      <c r="D18" s="25" t="s">
        <v>227</v>
      </c>
      <c r="E18" s="25" t="s">
        <v>228</v>
      </c>
      <c r="F18" s="24" t="s">
        <v>19</v>
      </c>
      <c r="G18" s="25"/>
      <c r="H18" s="26">
        <v>46213.0</v>
      </c>
      <c r="I18" s="24" t="s">
        <v>62</v>
      </c>
    </row>
    <row r="19" ht="48.75" customHeight="1">
      <c r="A19" s="21" t="s">
        <v>229</v>
      </c>
      <c r="B19" s="21" t="s">
        <v>147</v>
      </c>
      <c r="C19" s="22" t="s">
        <v>230</v>
      </c>
      <c r="D19" s="22" t="s">
        <v>231</v>
      </c>
      <c r="E19" s="22" t="s">
        <v>232</v>
      </c>
      <c r="F19" s="21" t="s">
        <v>19</v>
      </c>
      <c r="G19" s="22"/>
      <c r="H19" s="26">
        <v>46213.0</v>
      </c>
      <c r="I19" s="21" t="s">
        <v>62</v>
      </c>
    </row>
    <row r="20" ht="48.75" customHeight="1">
      <c r="A20" s="24" t="s">
        <v>233</v>
      </c>
      <c r="B20" s="24" t="s">
        <v>147</v>
      </c>
      <c r="C20" s="25" t="s">
        <v>234</v>
      </c>
      <c r="D20" s="25" t="s">
        <v>235</v>
      </c>
      <c r="E20" s="25" t="s">
        <v>236</v>
      </c>
      <c r="F20" s="24" t="s">
        <v>19</v>
      </c>
      <c r="G20" s="25"/>
      <c r="H20" s="26">
        <v>46213.0</v>
      </c>
      <c r="I20" s="24" t="s">
        <v>62</v>
      </c>
    </row>
    <row r="21" ht="48.75" customHeight="1">
      <c r="A21" s="21" t="s">
        <v>237</v>
      </c>
      <c r="B21" s="21" t="s">
        <v>147</v>
      </c>
      <c r="C21" s="22" t="s">
        <v>238</v>
      </c>
      <c r="D21" s="22" t="s">
        <v>239</v>
      </c>
      <c r="E21" s="22" t="s">
        <v>240</v>
      </c>
      <c r="F21" s="21" t="s">
        <v>19</v>
      </c>
      <c r="G21" s="22"/>
      <c r="H21" s="26">
        <v>46213.0</v>
      </c>
      <c r="I21" s="21" t="s">
        <v>62</v>
      </c>
    </row>
    <row r="22" ht="75.0" customHeight="1">
      <c r="A22" s="21" t="s">
        <v>241</v>
      </c>
      <c r="B22" s="21" t="s">
        <v>147</v>
      </c>
      <c r="C22" s="22" t="s">
        <v>242</v>
      </c>
      <c r="D22" s="22" t="s">
        <v>243</v>
      </c>
      <c r="E22" s="22" t="s">
        <v>244</v>
      </c>
      <c r="F22" s="21" t="s">
        <v>19</v>
      </c>
      <c r="G22" s="22"/>
      <c r="H22" s="23">
        <v>46213.0</v>
      </c>
      <c r="I22" s="21" t="s">
        <v>62</v>
      </c>
    </row>
    <row r="23" ht="75.0" customHeight="1">
      <c r="A23" s="21" t="s">
        <v>245</v>
      </c>
      <c r="B23" s="21" t="s">
        <v>181</v>
      </c>
      <c r="C23" s="22" t="s">
        <v>246</v>
      </c>
      <c r="D23" s="22" t="s">
        <v>247</v>
      </c>
      <c r="E23" s="22" t="s">
        <v>248</v>
      </c>
      <c r="F23" s="21" t="s">
        <v>19</v>
      </c>
      <c r="G23" s="22"/>
      <c r="H23" s="23">
        <v>46213.0</v>
      </c>
      <c r="I23" s="21" t="s">
        <v>62</v>
      </c>
    </row>
    <row r="24" ht="75.0" customHeight="1">
      <c r="A24" s="21" t="s">
        <v>249</v>
      </c>
      <c r="B24" s="21" t="s">
        <v>147</v>
      </c>
      <c r="C24" s="22" t="s">
        <v>250</v>
      </c>
      <c r="D24" s="22" t="s">
        <v>251</v>
      </c>
      <c r="E24" s="22" t="s">
        <v>252</v>
      </c>
      <c r="F24" s="21" t="s">
        <v>19</v>
      </c>
      <c r="G24" s="22"/>
      <c r="H24" s="23">
        <v>46213.0</v>
      </c>
      <c r="I24" s="21" t="s">
        <v>62</v>
      </c>
    </row>
    <row r="25" ht="75.0" customHeight="1">
      <c r="A25" s="21" t="s">
        <v>253</v>
      </c>
      <c r="B25" s="21" t="s">
        <v>147</v>
      </c>
      <c r="C25" s="22" t="s">
        <v>254</v>
      </c>
      <c r="D25" s="22" t="s">
        <v>255</v>
      </c>
      <c r="E25" s="22" t="s">
        <v>256</v>
      </c>
      <c r="F25" s="21" t="s">
        <v>19</v>
      </c>
      <c r="G25" s="22"/>
      <c r="H25" s="23">
        <v>46213.0</v>
      </c>
      <c r="I25" s="21" t="s">
        <v>62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21"/>
  <mergeCells count="2">
    <mergeCell ref="A1:I1"/>
    <mergeCell ref="A2:I2"/>
  </mergeCells>
  <conditionalFormatting sqref="F5:F25">
    <cfRule type="cellIs" dxfId="0" priority="1" operator="equal">
      <formula>"Pass"</formula>
    </cfRule>
  </conditionalFormatting>
  <conditionalFormatting sqref="F5:F25">
    <cfRule type="cellIs" dxfId="1" priority="2" operator="equal">
      <formula>"Fail"</formula>
    </cfRule>
  </conditionalFormatting>
  <conditionalFormatting sqref="F5:F25">
    <cfRule type="cellIs" dxfId="2" priority="3" operator="equal">
      <formula>"Partial"</formula>
    </cfRule>
  </conditionalFormatting>
  <conditionalFormatting sqref="F5:F25">
    <cfRule type="cellIs" dxfId="3" priority="4" operator="equal">
      <formula>"Blocked"</formula>
    </cfRule>
  </conditionalFormatting>
  <dataValidations>
    <dataValidation type="list" allowBlank="1" sqref="I5:I25">
      <formula1>"Yes,No,N/A"</formula1>
    </dataValidation>
    <dataValidation type="list" allowBlank="1" sqref="F5:F25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257</v>
      </c>
    </row>
    <row r="2" ht="15.75" customHeight="1">
      <c r="A2" s="20" t="s">
        <v>258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259</v>
      </c>
      <c r="B5" s="21" t="s">
        <v>260</v>
      </c>
      <c r="C5" s="22" t="s">
        <v>261</v>
      </c>
      <c r="D5" s="22" t="s">
        <v>262</v>
      </c>
      <c r="E5" s="22" t="s">
        <v>263</v>
      </c>
      <c r="F5" s="21" t="s">
        <v>19</v>
      </c>
      <c r="G5" s="22"/>
      <c r="H5" s="26">
        <v>46213.0</v>
      </c>
      <c r="I5" s="21" t="s">
        <v>62</v>
      </c>
    </row>
    <row r="6" ht="33.75" customHeight="1">
      <c r="A6" s="24" t="s">
        <v>264</v>
      </c>
      <c r="B6" s="24" t="s">
        <v>265</v>
      </c>
      <c r="C6" s="25" t="s">
        <v>266</v>
      </c>
      <c r="D6" s="25" t="s">
        <v>267</v>
      </c>
      <c r="E6" s="25" t="s">
        <v>268</v>
      </c>
      <c r="F6" s="24" t="s">
        <v>19</v>
      </c>
      <c r="G6" s="25"/>
      <c r="H6" s="26">
        <v>46213.0</v>
      </c>
      <c r="I6" s="24" t="s">
        <v>62</v>
      </c>
    </row>
    <row r="7" ht="48.75" customHeight="1">
      <c r="A7" s="21" t="s">
        <v>269</v>
      </c>
      <c r="B7" s="21" t="s">
        <v>270</v>
      </c>
      <c r="C7" s="22" t="s">
        <v>271</v>
      </c>
      <c r="D7" s="22" t="s">
        <v>272</v>
      </c>
      <c r="E7" s="22" t="s">
        <v>273</v>
      </c>
      <c r="F7" s="21" t="s">
        <v>19</v>
      </c>
      <c r="G7" s="22"/>
      <c r="H7" s="26">
        <v>46213.0</v>
      </c>
      <c r="I7" s="21" t="s">
        <v>62</v>
      </c>
    </row>
    <row r="8" ht="33.75" customHeight="1">
      <c r="A8" s="24" t="s">
        <v>274</v>
      </c>
      <c r="B8" s="24" t="s">
        <v>275</v>
      </c>
      <c r="C8" s="25" t="s">
        <v>276</v>
      </c>
      <c r="D8" s="25" t="s">
        <v>277</v>
      </c>
      <c r="E8" s="25" t="s">
        <v>278</v>
      </c>
      <c r="F8" s="24" t="s">
        <v>19</v>
      </c>
      <c r="G8" s="25"/>
      <c r="H8" s="26">
        <v>46213.0</v>
      </c>
      <c r="I8" s="24" t="s">
        <v>62</v>
      </c>
    </row>
    <row r="9" ht="48.75" customHeight="1">
      <c r="A9" s="21" t="s">
        <v>279</v>
      </c>
      <c r="B9" s="21" t="s">
        <v>280</v>
      </c>
      <c r="C9" s="22" t="s">
        <v>281</v>
      </c>
      <c r="D9" s="22" t="s">
        <v>282</v>
      </c>
      <c r="E9" s="22" t="s">
        <v>283</v>
      </c>
      <c r="F9" s="21" t="s">
        <v>19</v>
      </c>
      <c r="G9" s="22"/>
      <c r="H9" s="26">
        <v>46213.0</v>
      </c>
      <c r="I9" s="21" t="s">
        <v>62</v>
      </c>
    </row>
    <row r="10" ht="48.75" customHeight="1">
      <c r="A10" s="24" t="s">
        <v>284</v>
      </c>
      <c r="B10" s="24" t="s">
        <v>285</v>
      </c>
      <c r="C10" s="25" t="s">
        <v>286</v>
      </c>
      <c r="D10" s="25" t="s">
        <v>287</v>
      </c>
      <c r="E10" s="25" t="s">
        <v>288</v>
      </c>
      <c r="F10" s="24" t="s">
        <v>19</v>
      </c>
      <c r="G10" s="25"/>
      <c r="H10" s="26">
        <v>46213.0</v>
      </c>
      <c r="I10" s="24" t="s">
        <v>62</v>
      </c>
    </row>
    <row r="11" ht="48.75" customHeight="1">
      <c r="A11" s="21" t="s">
        <v>289</v>
      </c>
      <c r="B11" s="21" t="s">
        <v>290</v>
      </c>
      <c r="C11" s="22" t="s">
        <v>291</v>
      </c>
      <c r="D11" s="22" t="s">
        <v>292</v>
      </c>
      <c r="E11" s="22" t="s">
        <v>293</v>
      </c>
      <c r="F11" s="21" t="s">
        <v>19</v>
      </c>
      <c r="G11" s="22"/>
      <c r="H11" s="26">
        <v>46213.0</v>
      </c>
      <c r="I11" s="21" t="s">
        <v>62</v>
      </c>
    </row>
    <row r="12" ht="48.75" customHeight="1">
      <c r="A12" s="24" t="s">
        <v>294</v>
      </c>
      <c r="B12" s="24" t="s">
        <v>147</v>
      </c>
      <c r="C12" s="25" t="s">
        <v>295</v>
      </c>
      <c r="D12" s="25" t="s">
        <v>296</v>
      </c>
      <c r="E12" s="25" t="s">
        <v>297</v>
      </c>
      <c r="F12" s="24" t="s">
        <v>19</v>
      </c>
      <c r="G12" s="25"/>
      <c r="H12" s="26">
        <v>46213.0</v>
      </c>
      <c r="I12" s="24" t="s">
        <v>62</v>
      </c>
    </row>
    <row r="13" ht="48.75" customHeight="1">
      <c r="A13" s="21" t="s">
        <v>298</v>
      </c>
      <c r="B13" s="21" t="s">
        <v>299</v>
      </c>
      <c r="C13" s="22" t="s">
        <v>300</v>
      </c>
      <c r="D13" s="22" t="s">
        <v>301</v>
      </c>
      <c r="E13" s="22" t="s">
        <v>302</v>
      </c>
      <c r="F13" s="21" t="s">
        <v>19</v>
      </c>
      <c r="G13" s="22"/>
      <c r="H13" s="26">
        <v>46213.0</v>
      </c>
      <c r="I13" s="21" t="s">
        <v>62</v>
      </c>
    </row>
    <row r="14" ht="33.75" customHeight="1">
      <c r="A14" s="24" t="s">
        <v>303</v>
      </c>
      <c r="B14" s="24" t="s">
        <v>304</v>
      </c>
      <c r="C14" s="25" t="s">
        <v>305</v>
      </c>
      <c r="D14" s="25" t="s">
        <v>306</v>
      </c>
      <c r="E14" s="25" t="s">
        <v>307</v>
      </c>
      <c r="F14" s="24" t="s">
        <v>19</v>
      </c>
      <c r="G14" s="25"/>
      <c r="H14" s="26">
        <v>46213.0</v>
      </c>
      <c r="I14" s="24" t="s">
        <v>62</v>
      </c>
    </row>
    <row r="15" ht="33.75" customHeight="1">
      <c r="A15" s="21" t="s">
        <v>308</v>
      </c>
      <c r="B15" s="21" t="s">
        <v>309</v>
      </c>
      <c r="C15" s="22" t="s">
        <v>310</v>
      </c>
      <c r="D15" s="22" t="s">
        <v>311</v>
      </c>
      <c r="E15" s="22" t="s">
        <v>312</v>
      </c>
      <c r="F15" s="21" t="s">
        <v>19</v>
      </c>
      <c r="G15" s="22"/>
      <c r="H15" s="26">
        <v>46213.0</v>
      </c>
      <c r="I15" s="21" t="s">
        <v>62</v>
      </c>
    </row>
    <row r="16" ht="48.75" customHeight="1">
      <c r="A16" s="24" t="s">
        <v>313</v>
      </c>
      <c r="B16" s="24" t="s">
        <v>314</v>
      </c>
      <c r="C16" s="25" t="s">
        <v>315</v>
      </c>
      <c r="D16" s="25" t="s">
        <v>316</v>
      </c>
      <c r="E16" s="25" t="s">
        <v>317</v>
      </c>
      <c r="F16" s="24" t="s">
        <v>19</v>
      </c>
      <c r="G16" s="25"/>
      <c r="H16" s="26">
        <v>46213.0</v>
      </c>
      <c r="I16" s="24" t="s">
        <v>62</v>
      </c>
    </row>
    <row r="17" ht="48.75" customHeight="1">
      <c r="A17" s="21" t="s">
        <v>318</v>
      </c>
      <c r="B17" s="21" t="s">
        <v>147</v>
      </c>
      <c r="C17" s="22" t="s">
        <v>319</v>
      </c>
      <c r="D17" s="22" t="s">
        <v>320</v>
      </c>
      <c r="E17" s="22" t="s">
        <v>321</v>
      </c>
      <c r="F17" s="21" t="s">
        <v>19</v>
      </c>
      <c r="G17" s="22"/>
      <c r="H17" s="26">
        <v>46213.0</v>
      </c>
      <c r="I17" s="21" t="s">
        <v>62</v>
      </c>
    </row>
    <row r="18" ht="33.75" customHeight="1">
      <c r="A18" s="24" t="s">
        <v>322</v>
      </c>
      <c r="B18" s="24" t="s">
        <v>147</v>
      </c>
      <c r="C18" s="25" t="s">
        <v>323</v>
      </c>
      <c r="D18" s="25" t="s">
        <v>324</v>
      </c>
      <c r="E18" s="25" t="s">
        <v>325</v>
      </c>
      <c r="F18" s="24" t="s">
        <v>19</v>
      </c>
      <c r="G18" s="25"/>
      <c r="H18" s="26">
        <v>46213.0</v>
      </c>
      <c r="I18" s="2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8"/>
  <mergeCells count="2">
    <mergeCell ref="A1:I1"/>
    <mergeCell ref="A2:I2"/>
  </mergeCells>
  <conditionalFormatting sqref="F5:F18">
    <cfRule type="cellIs" dxfId="0" priority="1" operator="equal">
      <formula>"Pass"</formula>
    </cfRule>
  </conditionalFormatting>
  <conditionalFormatting sqref="F5:F18">
    <cfRule type="cellIs" dxfId="1" priority="2" operator="equal">
      <formula>"Fail"</formula>
    </cfRule>
  </conditionalFormatting>
  <conditionalFormatting sqref="F5:F18">
    <cfRule type="cellIs" dxfId="2" priority="3" operator="equal">
      <formula>"Partial"</formula>
    </cfRule>
  </conditionalFormatting>
  <conditionalFormatting sqref="F5:F18">
    <cfRule type="cellIs" dxfId="3" priority="4" operator="equal">
      <formula>"Blocked"</formula>
    </cfRule>
  </conditionalFormatting>
  <dataValidations>
    <dataValidation type="list" allowBlank="1" sqref="I5:I18">
      <formula1>"Yes,No,N/A"</formula1>
    </dataValidation>
    <dataValidation type="list" allowBlank="1" sqref="F5:F18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326</v>
      </c>
    </row>
    <row r="2" ht="15.75" customHeight="1">
      <c r="A2" s="20" t="s">
        <v>327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328</v>
      </c>
      <c r="B5" s="21" t="s">
        <v>329</v>
      </c>
      <c r="C5" s="22" t="s">
        <v>330</v>
      </c>
      <c r="D5" s="22" t="s">
        <v>331</v>
      </c>
      <c r="E5" s="22" t="s">
        <v>332</v>
      </c>
      <c r="F5" s="28" t="s">
        <v>19</v>
      </c>
      <c r="G5" s="22"/>
      <c r="H5" s="26">
        <v>46213.0</v>
      </c>
      <c r="I5" s="21" t="s">
        <v>62</v>
      </c>
    </row>
    <row r="6" ht="33.75" customHeight="1">
      <c r="A6" s="24" t="s">
        <v>333</v>
      </c>
      <c r="B6" s="24" t="s">
        <v>334</v>
      </c>
      <c r="C6" s="25" t="s">
        <v>335</v>
      </c>
      <c r="D6" s="25" t="s">
        <v>336</v>
      </c>
      <c r="E6" s="25" t="s">
        <v>337</v>
      </c>
      <c r="F6" s="24" t="s">
        <v>19</v>
      </c>
      <c r="G6" s="25"/>
      <c r="H6" s="26">
        <v>46213.0</v>
      </c>
      <c r="I6" s="24" t="s">
        <v>62</v>
      </c>
    </row>
    <row r="7" ht="33.75" customHeight="1">
      <c r="A7" s="21" t="s">
        <v>338</v>
      </c>
      <c r="B7" s="21" t="s">
        <v>339</v>
      </c>
      <c r="C7" s="22" t="s">
        <v>340</v>
      </c>
      <c r="D7" s="22" t="s">
        <v>341</v>
      </c>
      <c r="E7" s="22" t="s">
        <v>342</v>
      </c>
      <c r="F7" s="21" t="s">
        <v>19</v>
      </c>
      <c r="G7" s="22"/>
      <c r="H7" s="26">
        <v>46213.0</v>
      </c>
      <c r="I7" s="21" t="s">
        <v>62</v>
      </c>
    </row>
    <row r="8" ht="33.75" customHeight="1">
      <c r="A8" s="24" t="s">
        <v>343</v>
      </c>
      <c r="B8" s="24" t="s">
        <v>344</v>
      </c>
      <c r="C8" s="25" t="s">
        <v>345</v>
      </c>
      <c r="D8" s="25" t="s">
        <v>346</v>
      </c>
      <c r="E8" s="25" t="s">
        <v>347</v>
      </c>
      <c r="F8" s="24" t="s">
        <v>19</v>
      </c>
      <c r="G8" s="25"/>
      <c r="H8" s="26">
        <v>46213.0</v>
      </c>
      <c r="I8" s="24" t="s">
        <v>62</v>
      </c>
    </row>
    <row r="9" ht="48.75" customHeight="1">
      <c r="A9" s="21" t="s">
        <v>348</v>
      </c>
      <c r="B9" s="21" t="s">
        <v>349</v>
      </c>
      <c r="C9" s="22" t="s">
        <v>350</v>
      </c>
      <c r="D9" s="22" t="s">
        <v>351</v>
      </c>
      <c r="E9" s="22" t="s">
        <v>352</v>
      </c>
      <c r="F9" s="21" t="s">
        <v>19</v>
      </c>
      <c r="G9" s="22"/>
      <c r="H9" s="26">
        <v>46213.0</v>
      </c>
      <c r="I9" s="21" t="s">
        <v>62</v>
      </c>
    </row>
    <row r="10" ht="48.75" customHeight="1">
      <c r="A10" s="24" t="s">
        <v>353</v>
      </c>
      <c r="B10" s="24" t="s">
        <v>354</v>
      </c>
      <c r="C10" s="25" t="s">
        <v>355</v>
      </c>
      <c r="D10" s="25" t="s">
        <v>356</v>
      </c>
      <c r="E10" s="25" t="s">
        <v>357</v>
      </c>
      <c r="F10" s="24" t="s">
        <v>19</v>
      </c>
      <c r="G10" s="25"/>
      <c r="H10" s="26">
        <v>46213.0</v>
      </c>
      <c r="I10" s="24" t="s">
        <v>62</v>
      </c>
    </row>
    <row r="11" ht="48.75" customHeight="1">
      <c r="A11" s="21" t="s">
        <v>358</v>
      </c>
      <c r="B11" s="21" t="s">
        <v>359</v>
      </c>
      <c r="C11" s="22" t="s">
        <v>360</v>
      </c>
      <c r="D11" s="22" t="s">
        <v>361</v>
      </c>
      <c r="E11" s="22" t="s">
        <v>362</v>
      </c>
      <c r="F11" s="21" t="s">
        <v>19</v>
      </c>
      <c r="G11" s="22"/>
      <c r="H11" s="26">
        <v>46213.0</v>
      </c>
      <c r="I11" s="21" t="s">
        <v>62</v>
      </c>
    </row>
    <row r="12" ht="33.75" customHeight="1">
      <c r="A12" s="24" t="s">
        <v>363</v>
      </c>
      <c r="B12" s="24" t="s">
        <v>364</v>
      </c>
      <c r="C12" s="25" t="s">
        <v>365</v>
      </c>
      <c r="D12" s="25" t="s">
        <v>366</v>
      </c>
      <c r="E12" s="25" t="s">
        <v>367</v>
      </c>
      <c r="F12" s="29" t="s">
        <v>19</v>
      </c>
      <c r="G12" s="25"/>
      <c r="H12" s="26">
        <v>46213.0</v>
      </c>
      <c r="I12" s="24"/>
    </row>
    <row r="13" ht="63.75" customHeight="1">
      <c r="A13" s="21" t="s">
        <v>368</v>
      </c>
      <c r="B13" s="21" t="s">
        <v>147</v>
      </c>
      <c r="C13" s="22" t="s">
        <v>369</v>
      </c>
      <c r="D13" s="22" t="s">
        <v>370</v>
      </c>
      <c r="E13" s="22" t="s">
        <v>371</v>
      </c>
      <c r="F13" s="21" t="s">
        <v>19</v>
      </c>
      <c r="G13" s="22"/>
      <c r="H13" s="26">
        <v>46213.0</v>
      </c>
      <c r="I13" s="21" t="s">
        <v>62</v>
      </c>
    </row>
    <row r="14" ht="33.75" customHeight="1">
      <c r="A14" s="24" t="s">
        <v>372</v>
      </c>
      <c r="B14" s="24" t="s">
        <v>147</v>
      </c>
      <c r="C14" s="25" t="s">
        <v>373</v>
      </c>
      <c r="D14" s="25" t="s">
        <v>374</v>
      </c>
      <c r="E14" s="25" t="s">
        <v>375</v>
      </c>
      <c r="F14" s="24" t="s">
        <v>19</v>
      </c>
      <c r="G14" s="25"/>
      <c r="H14" s="26">
        <v>46213.0</v>
      </c>
      <c r="I14" s="24" t="s">
        <v>62</v>
      </c>
    </row>
    <row r="15" ht="33.75" customHeight="1">
      <c r="A15" s="21" t="s">
        <v>376</v>
      </c>
      <c r="B15" s="21" t="s">
        <v>147</v>
      </c>
      <c r="C15" s="22" t="s">
        <v>377</v>
      </c>
      <c r="D15" s="22" t="s">
        <v>378</v>
      </c>
      <c r="E15" s="22" t="s">
        <v>379</v>
      </c>
      <c r="F15" s="21" t="s">
        <v>19</v>
      </c>
      <c r="G15" s="22"/>
      <c r="H15" s="26">
        <v>46213.0</v>
      </c>
      <c r="I15" s="21" t="s">
        <v>62</v>
      </c>
    </row>
    <row r="16" ht="33.75" customHeight="1">
      <c r="A16" s="24" t="s">
        <v>380</v>
      </c>
      <c r="B16" s="24" t="s">
        <v>147</v>
      </c>
      <c r="C16" s="25" t="s">
        <v>381</v>
      </c>
      <c r="D16" s="25" t="s">
        <v>382</v>
      </c>
      <c r="E16" s="25" t="s">
        <v>383</v>
      </c>
      <c r="F16" s="24" t="s">
        <v>19</v>
      </c>
      <c r="G16" s="25"/>
      <c r="H16" s="26">
        <v>46213.0</v>
      </c>
      <c r="I16" s="24" t="s">
        <v>62</v>
      </c>
    </row>
    <row r="17" ht="75.0" customHeight="1">
      <c r="A17" s="24" t="s">
        <v>384</v>
      </c>
      <c r="B17" s="24" t="s">
        <v>147</v>
      </c>
      <c r="C17" s="25" t="s">
        <v>385</v>
      </c>
      <c r="D17" s="25" t="s">
        <v>386</v>
      </c>
      <c r="E17" s="25" t="s">
        <v>387</v>
      </c>
      <c r="F17" s="24" t="s">
        <v>19</v>
      </c>
      <c r="G17" s="25"/>
      <c r="H17" s="26">
        <v>46213.0</v>
      </c>
      <c r="I17" s="24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6"/>
  <mergeCells count="2">
    <mergeCell ref="A1:I1"/>
    <mergeCell ref="A2:I2"/>
  </mergeCells>
  <conditionalFormatting sqref="F5:F17">
    <cfRule type="cellIs" dxfId="0" priority="1" operator="equal">
      <formula>"Pass"</formula>
    </cfRule>
  </conditionalFormatting>
  <conditionalFormatting sqref="F5:F17">
    <cfRule type="cellIs" dxfId="1" priority="2" operator="equal">
      <formula>"Fail"</formula>
    </cfRule>
  </conditionalFormatting>
  <conditionalFormatting sqref="F5:F17">
    <cfRule type="cellIs" dxfId="2" priority="3" operator="equal">
      <formula>"Partial"</formula>
    </cfRule>
  </conditionalFormatting>
  <conditionalFormatting sqref="F5:F17">
    <cfRule type="cellIs" dxfId="3" priority="4" operator="equal">
      <formula>"Blocked"</formula>
    </cfRule>
  </conditionalFormatting>
  <dataValidations>
    <dataValidation type="list" allowBlank="1" sqref="I5:I17">
      <formula1>"Yes,No,N/A"</formula1>
    </dataValidation>
    <dataValidation type="list" allowBlank="1" sqref="F5:F17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388</v>
      </c>
    </row>
    <row r="2" ht="15.75" customHeight="1">
      <c r="A2" s="20" t="s">
        <v>389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390</v>
      </c>
      <c r="B5" s="21" t="s">
        <v>147</v>
      </c>
      <c r="C5" s="22" t="s">
        <v>391</v>
      </c>
      <c r="D5" s="22" t="s">
        <v>392</v>
      </c>
      <c r="E5" s="22" t="s">
        <v>393</v>
      </c>
      <c r="F5" s="21" t="s">
        <v>19</v>
      </c>
      <c r="G5" s="22"/>
      <c r="H5" s="26">
        <v>46213.0</v>
      </c>
      <c r="I5" s="21" t="s">
        <v>62</v>
      </c>
    </row>
    <row r="6" ht="48.75" customHeight="1">
      <c r="A6" s="24" t="s">
        <v>394</v>
      </c>
      <c r="B6" s="24" t="s">
        <v>147</v>
      </c>
      <c r="C6" s="25" t="s">
        <v>395</v>
      </c>
      <c r="D6" s="25" t="s">
        <v>396</v>
      </c>
      <c r="E6" s="25" t="s">
        <v>397</v>
      </c>
      <c r="F6" s="24" t="s">
        <v>19</v>
      </c>
      <c r="G6" s="25"/>
      <c r="H6" s="26">
        <v>46213.0</v>
      </c>
      <c r="I6" s="24" t="s">
        <v>62</v>
      </c>
    </row>
    <row r="7" ht="48.75" customHeight="1">
      <c r="A7" s="21" t="s">
        <v>398</v>
      </c>
      <c r="B7" s="21" t="s">
        <v>147</v>
      </c>
      <c r="C7" s="22" t="s">
        <v>399</v>
      </c>
      <c r="D7" s="22" t="s">
        <v>400</v>
      </c>
      <c r="E7" s="22" t="s">
        <v>401</v>
      </c>
      <c r="F7" s="21" t="s">
        <v>19</v>
      </c>
      <c r="G7" s="22"/>
      <c r="H7" s="26">
        <v>46213.0</v>
      </c>
      <c r="I7" s="21" t="s">
        <v>62</v>
      </c>
    </row>
    <row r="8" ht="63.75" customHeight="1">
      <c r="A8" s="24" t="s">
        <v>402</v>
      </c>
      <c r="B8" s="24" t="s">
        <v>147</v>
      </c>
      <c r="C8" s="25" t="s">
        <v>403</v>
      </c>
      <c r="D8" s="25" t="s">
        <v>404</v>
      </c>
      <c r="E8" s="25" t="s">
        <v>405</v>
      </c>
      <c r="F8" s="24" t="s">
        <v>19</v>
      </c>
      <c r="G8" s="25"/>
      <c r="H8" s="26">
        <v>46213.0</v>
      </c>
      <c r="I8" s="24" t="s">
        <v>62</v>
      </c>
    </row>
    <row r="9" ht="48.75" customHeight="1">
      <c r="A9" s="21" t="s">
        <v>406</v>
      </c>
      <c r="B9" s="21" t="s">
        <v>407</v>
      </c>
      <c r="C9" s="22" t="s">
        <v>408</v>
      </c>
      <c r="D9" s="22" t="s">
        <v>409</v>
      </c>
      <c r="E9" s="22" t="s">
        <v>410</v>
      </c>
      <c r="F9" s="21" t="s">
        <v>19</v>
      </c>
      <c r="G9" s="22"/>
      <c r="H9" s="26">
        <v>46213.0</v>
      </c>
      <c r="I9" s="21"/>
    </row>
    <row r="10" ht="48.75" customHeight="1">
      <c r="A10" s="24" t="s">
        <v>411</v>
      </c>
      <c r="B10" s="24" t="s">
        <v>412</v>
      </c>
      <c r="C10" s="25" t="s">
        <v>413</v>
      </c>
      <c r="D10" s="25" t="s">
        <v>414</v>
      </c>
      <c r="E10" s="25" t="s">
        <v>415</v>
      </c>
      <c r="F10" s="24" t="s">
        <v>23</v>
      </c>
      <c r="G10" s="22" t="s">
        <v>416</v>
      </c>
      <c r="H10" s="26">
        <v>46213.0</v>
      </c>
      <c r="I10" s="24"/>
    </row>
    <row r="11" ht="48.75" customHeight="1">
      <c r="A11" s="21" t="s">
        <v>417</v>
      </c>
      <c r="B11" s="21" t="s">
        <v>418</v>
      </c>
      <c r="C11" s="22" t="s">
        <v>419</v>
      </c>
      <c r="D11" s="22" t="s">
        <v>420</v>
      </c>
      <c r="E11" s="22" t="s">
        <v>421</v>
      </c>
      <c r="F11" s="21" t="s">
        <v>27</v>
      </c>
      <c r="G11" s="22"/>
      <c r="H11" s="26"/>
      <c r="I11" s="21"/>
    </row>
    <row r="12" ht="33.75" customHeight="1">
      <c r="A12" s="24" t="s">
        <v>422</v>
      </c>
      <c r="B12" s="24" t="s">
        <v>423</v>
      </c>
      <c r="C12" s="25" t="s">
        <v>424</v>
      </c>
      <c r="D12" s="25" t="s">
        <v>425</v>
      </c>
      <c r="E12" s="25" t="s">
        <v>426</v>
      </c>
      <c r="F12" s="24" t="s">
        <v>19</v>
      </c>
      <c r="G12" s="25"/>
      <c r="H12" s="26">
        <v>46213.0</v>
      </c>
      <c r="I12" s="24" t="s">
        <v>62</v>
      </c>
    </row>
    <row r="13" ht="48.75" customHeight="1">
      <c r="A13" s="21" t="s">
        <v>427</v>
      </c>
      <c r="B13" s="21" t="s">
        <v>428</v>
      </c>
      <c r="C13" s="22" t="s">
        <v>429</v>
      </c>
      <c r="D13" s="22" t="s">
        <v>430</v>
      </c>
      <c r="E13" s="22" t="s">
        <v>431</v>
      </c>
      <c r="F13" s="21" t="s">
        <v>19</v>
      </c>
      <c r="G13" s="22"/>
      <c r="H13" s="26">
        <v>46213.0</v>
      </c>
      <c r="I13" s="21" t="s">
        <v>62</v>
      </c>
    </row>
    <row r="14" ht="48.75" customHeight="1">
      <c r="A14" s="24" t="s">
        <v>432</v>
      </c>
      <c r="B14" s="24" t="s">
        <v>433</v>
      </c>
      <c r="C14" s="25" t="s">
        <v>434</v>
      </c>
      <c r="D14" s="25" t="s">
        <v>435</v>
      </c>
      <c r="E14" s="25" t="s">
        <v>436</v>
      </c>
      <c r="F14" s="24" t="s">
        <v>19</v>
      </c>
      <c r="G14" s="25"/>
      <c r="H14" s="26">
        <v>46213.0</v>
      </c>
      <c r="I14" s="24" t="s">
        <v>62</v>
      </c>
    </row>
    <row r="15" ht="33.75" customHeight="1">
      <c r="A15" s="21" t="s">
        <v>437</v>
      </c>
      <c r="B15" s="21" t="s">
        <v>438</v>
      </c>
      <c r="C15" s="22" t="s">
        <v>439</v>
      </c>
      <c r="D15" s="22" t="s">
        <v>440</v>
      </c>
      <c r="E15" s="22" t="s">
        <v>441</v>
      </c>
      <c r="F15" s="21" t="s">
        <v>19</v>
      </c>
      <c r="G15" s="22"/>
      <c r="H15" s="26">
        <v>46213.0</v>
      </c>
      <c r="I15" s="21"/>
    </row>
    <row r="16" ht="33.75" customHeight="1">
      <c r="A16" s="24" t="s">
        <v>442</v>
      </c>
      <c r="B16" s="24" t="s">
        <v>147</v>
      </c>
      <c r="C16" s="25" t="s">
        <v>443</v>
      </c>
      <c r="D16" s="25" t="s">
        <v>444</v>
      </c>
      <c r="E16" s="25" t="s">
        <v>445</v>
      </c>
      <c r="F16" s="24" t="s">
        <v>19</v>
      </c>
      <c r="G16" s="25"/>
      <c r="H16" s="26">
        <v>46213.0</v>
      </c>
      <c r="I16" s="24" t="s">
        <v>62</v>
      </c>
    </row>
    <row r="17" ht="48.75" customHeight="1">
      <c r="A17" s="21" t="s">
        <v>446</v>
      </c>
      <c r="B17" s="21" t="s">
        <v>447</v>
      </c>
      <c r="C17" s="22" t="s">
        <v>448</v>
      </c>
      <c r="D17" s="22" t="s">
        <v>449</v>
      </c>
      <c r="E17" s="22" t="s">
        <v>450</v>
      </c>
      <c r="F17" s="21" t="s">
        <v>19</v>
      </c>
      <c r="G17" s="22"/>
      <c r="H17" s="26">
        <v>46213.0</v>
      </c>
      <c r="I17" s="21" t="s">
        <v>62</v>
      </c>
    </row>
    <row r="18" ht="33.75" customHeight="1">
      <c r="A18" s="24" t="s">
        <v>451</v>
      </c>
      <c r="B18" s="24" t="s">
        <v>452</v>
      </c>
      <c r="C18" s="25" t="s">
        <v>453</v>
      </c>
      <c r="D18" s="25" t="s">
        <v>454</v>
      </c>
      <c r="E18" s="25" t="s">
        <v>455</v>
      </c>
      <c r="F18" s="24" t="s">
        <v>27</v>
      </c>
      <c r="G18" s="25"/>
      <c r="H18" s="26"/>
      <c r="I18" s="24"/>
    </row>
    <row r="19" ht="48.75" customHeight="1">
      <c r="A19" s="21" t="s">
        <v>456</v>
      </c>
      <c r="B19" s="21" t="s">
        <v>147</v>
      </c>
      <c r="C19" s="22" t="s">
        <v>457</v>
      </c>
      <c r="D19" s="22" t="s">
        <v>458</v>
      </c>
      <c r="E19" s="22" t="s">
        <v>459</v>
      </c>
      <c r="F19" s="21" t="s">
        <v>19</v>
      </c>
      <c r="G19" s="22"/>
      <c r="H19" s="26">
        <v>46213.0</v>
      </c>
      <c r="I19" s="21" t="s">
        <v>62</v>
      </c>
    </row>
    <row r="20" ht="90.0" customHeight="1">
      <c r="A20" s="21" t="s">
        <v>460</v>
      </c>
      <c r="B20" s="21" t="s">
        <v>447</v>
      </c>
      <c r="C20" s="22" t="s">
        <v>461</v>
      </c>
      <c r="D20" s="22" t="s">
        <v>462</v>
      </c>
      <c r="E20" s="22" t="s">
        <v>463</v>
      </c>
      <c r="F20" s="21" t="s">
        <v>19</v>
      </c>
      <c r="G20" s="22"/>
      <c r="H20" s="26">
        <v>46213.0</v>
      </c>
      <c r="I20" s="21"/>
    </row>
    <row r="21" ht="90.0" customHeight="1">
      <c r="A21" s="21" t="s">
        <v>464</v>
      </c>
      <c r="B21" s="21" t="s">
        <v>147</v>
      </c>
      <c r="C21" s="22" t="s">
        <v>465</v>
      </c>
      <c r="D21" s="22" t="s">
        <v>466</v>
      </c>
      <c r="E21" s="22" t="s">
        <v>467</v>
      </c>
      <c r="F21" s="21" t="s">
        <v>19</v>
      </c>
      <c r="G21" s="22"/>
      <c r="H21" s="26">
        <v>46213.0</v>
      </c>
      <c r="I21" s="2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9"/>
  <mergeCells count="2">
    <mergeCell ref="A1:I1"/>
    <mergeCell ref="A2:I2"/>
  </mergeCells>
  <conditionalFormatting sqref="F5:F19">
    <cfRule type="cellIs" dxfId="0" priority="1" operator="equal">
      <formula>"Pass"</formula>
    </cfRule>
  </conditionalFormatting>
  <conditionalFormatting sqref="F5:F19">
    <cfRule type="cellIs" dxfId="1" priority="2" operator="equal">
      <formula>"Fail"</formula>
    </cfRule>
  </conditionalFormatting>
  <conditionalFormatting sqref="F5:F19">
    <cfRule type="cellIs" dxfId="2" priority="3" operator="equal">
      <formula>"Partial"</formula>
    </cfRule>
  </conditionalFormatting>
  <conditionalFormatting sqref="F5:F19">
    <cfRule type="cellIs" dxfId="3" priority="4" operator="equal">
      <formula>"Blocked"</formula>
    </cfRule>
  </conditionalFormatting>
  <conditionalFormatting sqref="F20">
    <cfRule type="cellIs" dxfId="0" priority="5" operator="equal">
      <formula>"Pass"</formula>
    </cfRule>
  </conditionalFormatting>
  <conditionalFormatting sqref="F20">
    <cfRule type="cellIs" dxfId="1" priority="6" operator="equal">
      <formula>"Fail"</formula>
    </cfRule>
  </conditionalFormatting>
  <conditionalFormatting sqref="F20">
    <cfRule type="cellIs" dxfId="2" priority="7" operator="equal">
      <formula>"Partial"</formula>
    </cfRule>
  </conditionalFormatting>
  <conditionalFormatting sqref="F20">
    <cfRule type="cellIs" dxfId="3" priority="8" operator="equal">
      <formula>"Blocked"</formula>
    </cfRule>
  </conditionalFormatting>
  <conditionalFormatting sqref="F21">
    <cfRule type="cellIs" dxfId="0" priority="9" operator="equal">
      <formula>"Pass"</formula>
    </cfRule>
  </conditionalFormatting>
  <conditionalFormatting sqref="F21">
    <cfRule type="cellIs" dxfId="1" priority="10" operator="equal">
      <formula>"Fail"</formula>
    </cfRule>
  </conditionalFormatting>
  <conditionalFormatting sqref="F21">
    <cfRule type="cellIs" dxfId="2" priority="11" operator="equal">
      <formula>"Partial"</formula>
    </cfRule>
  </conditionalFormatting>
  <conditionalFormatting sqref="F21">
    <cfRule type="cellIs" dxfId="3" priority="12" operator="equal">
      <formula>"Blocked"</formula>
    </cfRule>
  </conditionalFormatting>
  <dataValidations>
    <dataValidation type="list" allowBlank="1" sqref="I5:I21">
      <formula1>"Yes,No,N/A"</formula1>
    </dataValidation>
    <dataValidation type="list" allowBlank="1" sqref="F5:F21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468</v>
      </c>
    </row>
    <row r="2" ht="15.75" customHeight="1">
      <c r="A2" s="20" t="s">
        <v>469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470</v>
      </c>
      <c r="B5" s="21" t="s">
        <v>147</v>
      </c>
      <c r="C5" s="22" t="s">
        <v>471</v>
      </c>
      <c r="D5" s="22" t="s">
        <v>472</v>
      </c>
      <c r="E5" s="22" t="s">
        <v>473</v>
      </c>
      <c r="F5" s="21" t="s">
        <v>19</v>
      </c>
      <c r="G5" s="22"/>
      <c r="H5" s="21"/>
      <c r="I5" s="27" t="s">
        <v>62</v>
      </c>
    </row>
    <row r="6" ht="63.75" customHeight="1">
      <c r="A6" s="24" t="s">
        <v>474</v>
      </c>
      <c r="B6" s="24" t="s">
        <v>147</v>
      </c>
      <c r="C6" s="25" t="s">
        <v>475</v>
      </c>
      <c r="D6" s="25" t="s">
        <v>476</v>
      </c>
      <c r="E6" s="25" t="s">
        <v>477</v>
      </c>
      <c r="F6" s="21" t="s">
        <v>19</v>
      </c>
      <c r="G6" s="25"/>
      <c r="H6" s="24"/>
      <c r="I6" s="29" t="s">
        <v>62</v>
      </c>
    </row>
    <row r="7" ht="33.75" customHeight="1">
      <c r="A7" s="21" t="s">
        <v>478</v>
      </c>
      <c r="B7" s="21" t="s">
        <v>147</v>
      </c>
      <c r="C7" s="22" t="s">
        <v>479</v>
      </c>
      <c r="D7" s="22" t="s">
        <v>480</v>
      </c>
      <c r="E7" s="22" t="s">
        <v>481</v>
      </c>
      <c r="F7" s="21" t="s">
        <v>19</v>
      </c>
      <c r="G7" s="22"/>
      <c r="H7" s="21"/>
      <c r="I7" s="27" t="s">
        <v>62</v>
      </c>
    </row>
    <row r="8" ht="33.75" customHeight="1">
      <c r="A8" s="24" t="s">
        <v>482</v>
      </c>
      <c r="B8" s="24" t="s">
        <v>147</v>
      </c>
      <c r="C8" s="25" t="s">
        <v>483</v>
      </c>
      <c r="D8" s="25" t="s">
        <v>484</v>
      </c>
      <c r="E8" s="25" t="s">
        <v>485</v>
      </c>
      <c r="F8" s="21" t="s">
        <v>19</v>
      </c>
      <c r="G8" s="25"/>
      <c r="H8" s="24"/>
      <c r="I8" s="29" t="s">
        <v>62</v>
      </c>
    </row>
    <row r="9" ht="63.75" customHeight="1">
      <c r="A9" s="21" t="s">
        <v>486</v>
      </c>
      <c r="B9" s="21" t="s">
        <v>147</v>
      </c>
      <c r="C9" s="22" t="s">
        <v>487</v>
      </c>
      <c r="D9" s="22" t="s">
        <v>488</v>
      </c>
      <c r="E9" s="22" t="s">
        <v>489</v>
      </c>
      <c r="F9" s="21" t="s">
        <v>19</v>
      </c>
      <c r="G9" s="22"/>
      <c r="H9" s="21"/>
      <c r="I9" s="27" t="s">
        <v>62</v>
      </c>
    </row>
    <row r="10" ht="48.75" customHeight="1">
      <c r="A10" s="24" t="s">
        <v>490</v>
      </c>
      <c r="B10" s="24" t="s">
        <v>147</v>
      </c>
      <c r="C10" s="25" t="s">
        <v>491</v>
      </c>
      <c r="D10" s="25" t="s">
        <v>492</v>
      </c>
      <c r="E10" s="25" t="s">
        <v>493</v>
      </c>
      <c r="F10" s="21" t="s">
        <v>19</v>
      </c>
      <c r="G10" s="25"/>
      <c r="H10" s="24"/>
      <c r="I10" s="29" t="s">
        <v>62</v>
      </c>
    </row>
    <row r="11" ht="48.75" customHeight="1">
      <c r="A11" s="21" t="s">
        <v>494</v>
      </c>
      <c r="B11" s="21" t="s">
        <v>147</v>
      </c>
      <c r="C11" s="22" t="s">
        <v>495</v>
      </c>
      <c r="D11" s="22" t="s">
        <v>496</v>
      </c>
      <c r="E11" s="22" t="s">
        <v>497</v>
      </c>
      <c r="F11" s="21" t="s">
        <v>19</v>
      </c>
      <c r="G11" s="22"/>
      <c r="H11" s="21"/>
      <c r="I11" s="27" t="s">
        <v>62</v>
      </c>
    </row>
    <row r="12" ht="63.75" customHeight="1">
      <c r="A12" s="24" t="s">
        <v>498</v>
      </c>
      <c r="B12" s="24" t="s">
        <v>147</v>
      </c>
      <c r="C12" s="25" t="s">
        <v>499</v>
      </c>
      <c r="D12" s="25" t="s">
        <v>500</v>
      </c>
      <c r="E12" s="25" t="s">
        <v>501</v>
      </c>
      <c r="F12" s="21" t="s">
        <v>19</v>
      </c>
      <c r="G12" s="25"/>
      <c r="H12" s="24"/>
      <c r="I12" s="29" t="s">
        <v>62</v>
      </c>
    </row>
    <row r="13" ht="78.75" customHeight="1">
      <c r="A13" s="21" t="s">
        <v>502</v>
      </c>
      <c r="B13" s="21" t="s">
        <v>147</v>
      </c>
      <c r="C13" s="22" t="s">
        <v>503</v>
      </c>
      <c r="D13" s="22" t="s">
        <v>504</v>
      </c>
      <c r="E13" s="22" t="s">
        <v>505</v>
      </c>
      <c r="F13" s="21" t="s">
        <v>19</v>
      </c>
      <c r="G13" s="22"/>
      <c r="H13" s="21"/>
      <c r="I13" s="27" t="s">
        <v>62</v>
      </c>
    </row>
    <row r="14" ht="63.75" customHeight="1">
      <c r="A14" s="24" t="s">
        <v>506</v>
      </c>
      <c r="B14" s="24" t="s">
        <v>147</v>
      </c>
      <c r="C14" s="25" t="s">
        <v>507</v>
      </c>
      <c r="D14" s="25" t="s">
        <v>508</v>
      </c>
      <c r="E14" s="25" t="s">
        <v>509</v>
      </c>
      <c r="F14" s="21" t="s">
        <v>19</v>
      </c>
      <c r="G14" s="25"/>
      <c r="H14" s="24"/>
      <c r="I14" s="29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4"/>
  <mergeCells count="2">
    <mergeCell ref="A1:I1"/>
    <mergeCell ref="A2:I2"/>
  </mergeCells>
  <conditionalFormatting sqref="F5:F14">
    <cfRule type="cellIs" dxfId="0" priority="1" operator="equal">
      <formula>"Pass"</formula>
    </cfRule>
  </conditionalFormatting>
  <conditionalFormatting sqref="F5:F14">
    <cfRule type="cellIs" dxfId="1" priority="2" operator="equal">
      <formula>"Fail"</formula>
    </cfRule>
  </conditionalFormatting>
  <conditionalFormatting sqref="F5:F14">
    <cfRule type="cellIs" dxfId="2" priority="3" operator="equal">
      <formula>"Partial"</formula>
    </cfRule>
  </conditionalFormatting>
  <conditionalFormatting sqref="F5:F14">
    <cfRule type="cellIs" dxfId="3" priority="4" operator="equal">
      <formula>"Blocked"</formula>
    </cfRule>
  </conditionalFormatting>
  <dataValidations>
    <dataValidation type="list" allowBlank="1" sqref="I5:I14">
      <formula1>"Yes,No,N/A"</formula1>
    </dataValidation>
    <dataValidation type="list" allowBlank="1" sqref="F5:F14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0.0"/>
    <col customWidth="1" min="3" max="3" width="30.0"/>
    <col customWidth="1" min="4" max="4" width="56.0"/>
    <col customWidth="1" min="5" max="5" width="48.0"/>
    <col customWidth="1" min="6" max="6" width="12.0"/>
    <col customWidth="1" min="7" max="7" width="32.0"/>
    <col customWidth="1" min="8" max="8" width="12.0"/>
    <col customWidth="1" min="9" max="9" width="13.0"/>
  </cols>
  <sheetData>
    <row r="1" ht="21.75" customHeight="1">
      <c r="A1" s="19" t="s">
        <v>510</v>
      </c>
    </row>
    <row r="2" ht="15.75" customHeight="1">
      <c r="A2" s="20" t="s">
        <v>511</v>
      </c>
    </row>
    <row r="4" ht="25.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33</v>
      </c>
    </row>
    <row r="5" ht="48.75" customHeight="1">
      <c r="A5" s="21" t="s">
        <v>512</v>
      </c>
      <c r="B5" s="21" t="s">
        <v>513</v>
      </c>
      <c r="C5" s="22" t="s">
        <v>514</v>
      </c>
      <c r="D5" s="22" t="s">
        <v>515</v>
      </c>
      <c r="E5" s="22" t="s">
        <v>516</v>
      </c>
      <c r="F5" s="27" t="s">
        <v>19</v>
      </c>
      <c r="G5" s="22"/>
      <c r="H5" s="27" t="s">
        <v>517</v>
      </c>
      <c r="I5" s="27" t="s">
        <v>62</v>
      </c>
    </row>
    <row r="6" ht="33.75" customHeight="1">
      <c r="A6" s="24" t="s">
        <v>518</v>
      </c>
      <c r="B6" s="24" t="s">
        <v>519</v>
      </c>
      <c r="C6" s="25" t="s">
        <v>520</v>
      </c>
      <c r="D6" s="25" t="s">
        <v>521</v>
      </c>
      <c r="E6" s="25" t="s">
        <v>522</v>
      </c>
      <c r="F6" s="29" t="s">
        <v>19</v>
      </c>
      <c r="G6" s="25"/>
      <c r="H6" s="27" t="s">
        <v>517</v>
      </c>
      <c r="I6" s="29" t="s">
        <v>62</v>
      </c>
    </row>
    <row r="7" ht="33.75" customHeight="1">
      <c r="A7" s="21" t="s">
        <v>523</v>
      </c>
      <c r="B7" s="21" t="s">
        <v>524</v>
      </c>
      <c r="C7" s="22" t="s">
        <v>525</v>
      </c>
      <c r="D7" s="22" t="s">
        <v>526</v>
      </c>
      <c r="E7" s="22" t="s">
        <v>527</v>
      </c>
      <c r="F7" s="27" t="s">
        <v>19</v>
      </c>
      <c r="G7" s="22"/>
      <c r="H7" s="27" t="s">
        <v>517</v>
      </c>
      <c r="I7" s="27" t="s">
        <v>62</v>
      </c>
    </row>
    <row r="8" ht="33.75" customHeight="1">
      <c r="A8" s="24" t="s">
        <v>528</v>
      </c>
      <c r="B8" s="24" t="s">
        <v>529</v>
      </c>
      <c r="C8" s="25" t="s">
        <v>530</v>
      </c>
      <c r="D8" s="25" t="s">
        <v>531</v>
      </c>
      <c r="E8" s="25" t="s">
        <v>532</v>
      </c>
      <c r="F8" s="29" t="s">
        <v>19</v>
      </c>
      <c r="G8" s="25"/>
      <c r="H8" s="27" t="s">
        <v>517</v>
      </c>
      <c r="I8" s="29" t="s">
        <v>62</v>
      </c>
    </row>
    <row r="9" ht="33.75" customHeight="1">
      <c r="A9" s="21" t="s">
        <v>533</v>
      </c>
      <c r="B9" s="21" t="s">
        <v>534</v>
      </c>
      <c r="C9" s="22" t="s">
        <v>535</v>
      </c>
      <c r="D9" s="22" t="s">
        <v>536</v>
      </c>
      <c r="E9" s="22" t="s">
        <v>537</v>
      </c>
      <c r="F9" s="27" t="s">
        <v>19</v>
      </c>
      <c r="G9" s="22"/>
      <c r="H9" s="27" t="s">
        <v>517</v>
      </c>
      <c r="I9" s="27" t="s">
        <v>62</v>
      </c>
    </row>
    <row r="10" ht="48.75" customHeight="1">
      <c r="A10" s="24" t="s">
        <v>538</v>
      </c>
      <c r="B10" s="24" t="s">
        <v>539</v>
      </c>
      <c r="C10" s="25" t="s">
        <v>540</v>
      </c>
      <c r="D10" s="25" t="s">
        <v>541</v>
      </c>
      <c r="E10" s="25" t="s">
        <v>542</v>
      </c>
      <c r="F10" s="29" t="s">
        <v>19</v>
      </c>
      <c r="G10" s="25"/>
      <c r="H10" s="27" t="s">
        <v>517</v>
      </c>
      <c r="I10" s="29" t="s">
        <v>62</v>
      </c>
    </row>
    <row r="11" ht="33.75" customHeight="1">
      <c r="A11" s="21" t="s">
        <v>543</v>
      </c>
      <c r="B11" s="21" t="s">
        <v>544</v>
      </c>
      <c r="C11" s="22" t="s">
        <v>545</v>
      </c>
      <c r="D11" s="22" t="s">
        <v>546</v>
      </c>
      <c r="E11" s="22" t="s">
        <v>547</v>
      </c>
      <c r="F11" s="27" t="s">
        <v>19</v>
      </c>
      <c r="G11" s="22"/>
      <c r="H11" s="27" t="s">
        <v>517</v>
      </c>
      <c r="I11" s="27" t="s">
        <v>62</v>
      </c>
    </row>
    <row r="12" ht="48.75" customHeight="1">
      <c r="A12" s="24" t="s">
        <v>548</v>
      </c>
      <c r="B12" s="24" t="s">
        <v>549</v>
      </c>
      <c r="C12" s="25" t="s">
        <v>550</v>
      </c>
      <c r="D12" s="25" t="s">
        <v>551</v>
      </c>
      <c r="E12" s="25" t="s">
        <v>552</v>
      </c>
      <c r="F12" s="29" t="s">
        <v>19</v>
      </c>
      <c r="G12" s="25"/>
      <c r="H12" s="27" t="s">
        <v>517</v>
      </c>
      <c r="I12" s="29" t="s">
        <v>62</v>
      </c>
    </row>
    <row r="13" ht="33.75" customHeight="1">
      <c r="A13" s="21" t="s">
        <v>553</v>
      </c>
      <c r="B13" s="21" t="s">
        <v>554</v>
      </c>
      <c r="C13" s="22" t="s">
        <v>555</v>
      </c>
      <c r="D13" s="22" t="s">
        <v>556</v>
      </c>
      <c r="E13" s="22" t="s">
        <v>557</v>
      </c>
      <c r="F13" s="27" t="s">
        <v>19</v>
      </c>
      <c r="G13" s="22"/>
      <c r="H13" s="27" t="s">
        <v>517</v>
      </c>
      <c r="I13" s="27" t="s">
        <v>62</v>
      </c>
    </row>
    <row r="14" ht="48.75" customHeight="1">
      <c r="A14" s="24" t="s">
        <v>558</v>
      </c>
      <c r="B14" s="24" t="s">
        <v>559</v>
      </c>
      <c r="C14" s="25" t="s">
        <v>560</v>
      </c>
      <c r="D14" s="25" t="s">
        <v>561</v>
      </c>
      <c r="E14" s="25" t="s">
        <v>562</v>
      </c>
      <c r="F14" s="29" t="s">
        <v>19</v>
      </c>
      <c r="G14" s="25"/>
      <c r="H14" s="27" t="s">
        <v>517</v>
      </c>
      <c r="I14" s="29" t="s">
        <v>62</v>
      </c>
    </row>
    <row r="15" ht="48.75" customHeight="1">
      <c r="A15" s="21" t="s">
        <v>563</v>
      </c>
      <c r="B15" s="21" t="s">
        <v>559</v>
      </c>
      <c r="C15" s="22" t="s">
        <v>564</v>
      </c>
      <c r="D15" s="22" t="s">
        <v>565</v>
      </c>
      <c r="E15" s="22" t="s">
        <v>566</v>
      </c>
      <c r="F15" s="27" t="s">
        <v>19</v>
      </c>
      <c r="G15" s="22"/>
      <c r="H15" s="27" t="s">
        <v>517</v>
      </c>
      <c r="I15" s="27" t="s">
        <v>62</v>
      </c>
    </row>
    <row r="16" ht="33.75" customHeight="1">
      <c r="A16" s="24" t="s">
        <v>567</v>
      </c>
      <c r="B16" s="24" t="s">
        <v>568</v>
      </c>
      <c r="C16" s="25" t="s">
        <v>569</v>
      </c>
      <c r="D16" s="25" t="s">
        <v>570</v>
      </c>
      <c r="E16" s="25" t="s">
        <v>571</v>
      </c>
      <c r="F16" s="29" t="s">
        <v>19</v>
      </c>
      <c r="G16" s="25"/>
      <c r="H16" s="27" t="s">
        <v>517</v>
      </c>
      <c r="I16" s="29" t="s">
        <v>62</v>
      </c>
    </row>
    <row r="17" ht="33.75" customHeight="1">
      <c r="A17" s="21" t="s">
        <v>572</v>
      </c>
      <c r="B17" s="21" t="s">
        <v>147</v>
      </c>
      <c r="C17" s="22" t="s">
        <v>573</v>
      </c>
      <c r="D17" s="22" t="s">
        <v>574</v>
      </c>
      <c r="E17" s="22" t="s">
        <v>575</v>
      </c>
      <c r="F17" s="27" t="s">
        <v>23</v>
      </c>
      <c r="G17" s="22"/>
      <c r="H17" s="27" t="s">
        <v>517</v>
      </c>
      <c r="I17" s="27" t="s">
        <v>62</v>
      </c>
    </row>
    <row r="18" ht="33.75" customHeight="1">
      <c r="A18" s="24" t="s">
        <v>576</v>
      </c>
      <c r="B18" s="24" t="s">
        <v>147</v>
      </c>
      <c r="C18" s="25" t="s">
        <v>577</v>
      </c>
      <c r="D18" s="25" t="s">
        <v>578</v>
      </c>
      <c r="E18" s="25" t="s">
        <v>579</v>
      </c>
      <c r="F18" s="29" t="s">
        <v>19</v>
      </c>
      <c r="G18" s="25"/>
      <c r="H18" s="27" t="s">
        <v>517</v>
      </c>
      <c r="I18" s="29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18"/>
  <mergeCells count="2">
    <mergeCell ref="A1:I1"/>
    <mergeCell ref="A2:I2"/>
  </mergeCells>
  <conditionalFormatting sqref="F5:F18">
    <cfRule type="cellIs" dxfId="0" priority="1" operator="equal">
      <formula>"Pass"</formula>
    </cfRule>
  </conditionalFormatting>
  <conditionalFormatting sqref="F5:F18">
    <cfRule type="cellIs" dxfId="1" priority="2" operator="equal">
      <formula>"Fail"</formula>
    </cfRule>
  </conditionalFormatting>
  <conditionalFormatting sqref="F5:F18">
    <cfRule type="cellIs" dxfId="2" priority="3" operator="equal">
      <formula>"Partial"</formula>
    </cfRule>
  </conditionalFormatting>
  <conditionalFormatting sqref="F5:F18">
    <cfRule type="cellIs" dxfId="3" priority="4" operator="equal">
      <formula>"Blocked"</formula>
    </cfRule>
  </conditionalFormatting>
  <dataValidations>
    <dataValidation type="list" allowBlank="1" sqref="I5:I18">
      <formula1>"Yes,No,N/A"</formula1>
    </dataValidation>
    <dataValidation type="list" allowBlank="1" sqref="F5:F18">
      <formula1>"Pass,Fail,Partial,Blocked,Not Tested"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2026-07-06T07:58:47Z</dcterms:created>
  <dc:creator>openpyxl</dc:creator>
</cp:coreProperties>
</file>